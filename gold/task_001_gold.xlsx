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<sst xmlns="http://schemas.openxmlformats.org/spreadsheetml/2006/main" count="913" uniqueCount="270">
  <si>
    <t xml:space="preserve">order_id</t>
  </si>
  <si>
    <t xml:space="preserve">order_date</t>
  </si>
  <si>
    <t xml:space="preserve">customer_name</t>
  </si>
  <si>
    <t xml:space="preserve">region</t>
  </si>
  <si>
    <t xml:space="preserve">product_category</t>
  </si>
  <si>
    <t xml:space="preserve">product_name</t>
  </si>
  <si>
    <t xml:space="preserve">quantity</t>
  </si>
  <si>
    <t xml:space="preserve">unit_price</t>
  </si>
  <si>
    <t xml:space="preserve">revenue</t>
  </si>
  <si>
    <t xml:space="preserve">ORD-001</t>
  </si>
  <si>
    <t xml:space="preserve">2024-03-04</t>
  </si>
  <si>
    <t xml:space="preserve">Henry Davis</t>
  </si>
  <si>
    <t xml:space="preserve">South</t>
  </si>
  <si>
    <t xml:space="preserve">Electronics</t>
  </si>
  <si>
    <t xml:space="preserve">Wireless Headphones</t>
  </si>
  <si>
    <t xml:space="preserve">ORD-002</t>
  </si>
  <si>
    <t xml:space="preserve">03/04/2024</t>
  </si>
  <si>
    <t xml:space="preserve">Sam White</t>
  </si>
  <si>
    <t xml:space="preserve">North</t>
  </si>
  <si>
    <t xml:space="preserve">Sports</t>
  </si>
  <si>
    <t xml:space="preserve">Water Bottle</t>
  </si>
  <si>
    <t xml:space="preserve">ORD-003</t>
  </si>
  <si>
    <t xml:space="preserve">03-Jan-2024</t>
  </si>
  <si>
    <t xml:space="preserve">Quinn Clark</t>
  </si>
  <si>
    <t xml:space="preserve">Clothing</t>
  </si>
  <si>
    <t xml:space="preserve">Running Shorts</t>
  </si>
  <si>
    <t xml:space="preserve">ORD-004</t>
  </si>
  <si>
    <t xml:space="preserve">2024-03-07</t>
  </si>
  <si>
    <t xml:space="preserve">Henry Harris</t>
  </si>
  <si>
    <t xml:space="preserve">East</t>
  </si>
  <si>
    <t xml:space="preserve">ORD-005</t>
  </si>
  <si>
    <t xml:space="preserve">01/25/2024</t>
  </si>
  <si>
    <t xml:space="preserve">Karen Wilson</t>
  </si>
  <si>
    <t xml:space="preserve">Fleece Jacket</t>
  </si>
  <si>
    <t xml:space="preserve">ORD-006</t>
  </si>
  <si>
    <t xml:space="preserve">25-Jan-2024</t>
  </si>
  <si>
    <t xml:space="preserve">Carol Jackson</t>
  </si>
  <si>
    <t xml:space="preserve">Home &amp; Garden</t>
  </si>
  <si>
    <t xml:space="preserve">Garden Hose</t>
  </si>
  <si>
    <t xml:space="preserve">ORD-007</t>
  </si>
  <si>
    <t xml:space="preserve">2024-02-28</t>
  </si>
  <si>
    <t xml:space="preserve">Isabel Johnson</t>
  </si>
  <si>
    <t xml:space="preserve">West</t>
  </si>
  <si>
    <t xml:space="preserve">Throw Pillow Set</t>
  </si>
  <si>
    <t xml:space="preserve">ORD-008</t>
  </si>
  <si>
    <t xml:space="preserve">Rachel Taylor</t>
  </si>
  <si>
    <t xml:space="preserve">Scented Candles</t>
  </si>
  <si>
    <t xml:space="preserve">ORD-009</t>
  </si>
  <si>
    <t xml:space="preserve">07-Mar-2024</t>
  </si>
  <si>
    <t xml:space="preserve">Henry Taylor</t>
  </si>
  <si>
    <t xml:space="preserve">Portable Charger</t>
  </si>
  <si>
    <t xml:space="preserve">ORD-010</t>
  </si>
  <si>
    <t xml:space="preserve">2024-01-28</t>
  </si>
  <si>
    <t xml:space="preserve">Isabel Harris</t>
  </si>
  <si>
    <t xml:space="preserve">Bluetooth Speaker</t>
  </si>
  <si>
    <t xml:space="preserve">01/28/2024</t>
  </si>
  <si>
    <t xml:space="preserve">ORD-011</t>
  </si>
  <si>
    <t xml:space="preserve">12-Jan-2024</t>
  </si>
  <si>
    <t xml:space="preserve">Isabel Williams</t>
  </si>
  <si>
    <t xml:space="preserve">ORD-012</t>
  </si>
  <si>
    <t xml:space="preserve">2024-03-24</t>
  </si>
  <si>
    <t xml:space="preserve">Olivia Jackson</t>
  </si>
  <si>
    <t xml:space="preserve">Waterproof Boots</t>
  </si>
  <si>
    <t xml:space="preserve">ORD-013</t>
  </si>
  <si>
    <t xml:space="preserve">03/23/2024</t>
  </si>
  <si>
    <t xml:space="preserve">Karen Johnson</t>
  </si>
  <si>
    <t xml:space="preserve">ORD-014</t>
  </si>
  <si>
    <t xml:space="preserve">26-Jan-2024</t>
  </si>
  <si>
    <t xml:space="preserve">ORD-015</t>
  </si>
  <si>
    <t xml:space="preserve">2024-03-23</t>
  </si>
  <si>
    <t xml:space="preserve">Peter Jackson</t>
  </si>
  <si>
    <t xml:space="preserve">ORD-016</t>
  </si>
  <si>
    <t xml:space="preserve">01/09/2024</t>
  </si>
  <si>
    <t xml:space="preserve">Rachel Moore</t>
  </si>
  <si>
    <t xml:space="preserve">Smart Watch</t>
  </si>
  <si>
    <t xml:space="preserve">ORD-017</t>
  </si>
  <si>
    <t xml:space="preserve">19-Mar-2024</t>
  </si>
  <si>
    <t xml:space="preserve">Maya Thomas</t>
  </si>
  <si>
    <t xml:space="preserve">Wall Clock</t>
  </si>
  <si>
    <t xml:space="preserve">ORD-018</t>
  </si>
  <si>
    <t xml:space="preserve">2024-01-17</t>
  </si>
  <si>
    <t xml:space="preserve">Bob Brown</t>
  </si>
  <si>
    <t xml:space="preserve">Yoga Mat</t>
  </si>
  <si>
    <t xml:space="preserve">ORD-019</t>
  </si>
  <si>
    <t xml:space="preserve">03/06/2024</t>
  </si>
  <si>
    <t xml:space="preserve">ORD-020</t>
  </si>
  <si>
    <t xml:space="preserve">15-Mar-2024</t>
  </si>
  <si>
    <t xml:space="preserve">Rachel Smith</t>
  </si>
  <si>
    <t xml:space="preserve">Resistance Bands</t>
  </si>
  <si>
    <t xml:space="preserve">ORD-021</t>
  </si>
  <si>
    <t xml:space="preserve">2024-03-18</t>
  </si>
  <si>
    <t xml:space="preserve">David Taylor</t>
  </si>
  <si>
    <t xml:space="preserve">Casual T-Shirt</t>
  </si>
  <si>
    <t xml:space="preserve">ORD-022</t>
  </si>
  <si>
    <t xml:space="preserve">01/15/2024</t>
  </si>
  <si>
    <t xml:space="preserve">Quinn Garcia</t>
  </si>
  <si>
    <t xml:space="preserve">15-Jan-2024</t>
  </si>
  <si>
    <t xml:space="preserve">ORD-023</t>
  </si>
  <si>
    <t xml:space="preserve">2024-03-10</t>
  </si>
  <si>
    <t xml:space="preserve">Grace Jones</t>
  </si>
  <si>
    <t xml:space="preserve">ORD-024</t>
  </si>
  <si>
    <t xml:space="preserve">01/18/2024</t>
  </si>
  <si>
    <t xml:space="preserve">Tara Anderson</t>
  </si>
  <si>
    <t xml:space="preserve">ORD-025</t>
  </si>
  <si>
    <t xml:space="preserve">04-Jan-2024</t>
  </si>
  <si>
    <t xml:space="preserve">Henry Johnson</t>
  </si>
  <si>
    <t xml:space="preserve">ORD-026</t>
  </si>
  <si>
    <t xml:space="preserve">2024-03-03</t>
  </si>
  <si>
    <t xml:space="preserve">Carol Moore</t>
  </si>
  <si>
    <t xml:space="preserve">ORD-027</t>
  </si>
  <si>
    <t xml:space="preserve">01/22/2024</t>
  </si>
  <si>
    <t xml:space="preserve">Frank Wilson</t>
  </si>
  <si>
    <t xml:space="preserve">ORD-028</t>
  </si>
  <si>
    <t xml:space="preserve">18-Jan-2024</t>
  </si>
  <si>
    <t xml:space="preserve">ORD-029</t>
  </si>
  <si>
    <t xml:space="preserve">2024-03-15</t>
  </si>
  <si>
    <t xml:space="preserve">Henry Williams</t>
  </si>
  <si>
    <t xml:space="preserve">ORD-030</t>
  </si>
  <si>
    <t xml:space="preserve">01/19/2024</t>
  </si>
  <si>
    <t xml:space="preserve">Sam Davis</t>
  </si>
  <si>
    <t xml:space="preserve">ORD-031</t>
  </si>
  <si>
    <t xml:space="preserve">23-Jan-2024</t>
  </si>
  <si>
    <t xml:space="preserve">Carol Johnson</t>
  </si>
  <si>
    <t xml:space="preserve">USB-C Hub</t>
  </si>
  <si>
    <t xml:space="preserve">ORD-032</t>
  </si>
  <si>
    <t xml:space="preserve">Peter Miller</t>
  </si>
  <si>
    <t xml:space="preserve">ORD-033</t>
  </si>
  <si>
    <t xml:space="preserve">03/19/2024</t>
  </si>
  <si>
    <t xml:space="preserve">Henry Martin</t>
  </si>
  <si>
    <t xml:space="preserve">Foam Roller</t>
  </si>
  <si>
    <t xml:space="preserve">ORD-034</t>
  </si>
  <si>
    <t xml:space="preserve">Liam White</t>
  </si>
  <si>
    <t xml:space="preserve">ORD-035</t>
  </si>
  <si>
    <t xml:space="preserve">Bob Jackson</t>
  </si>
  <si>
    <t xml:space="preserve">02/28/2024</t>
  </si>
  <si>
    <t xml:space="preserve">ORD-036</t>
  </si>
  <si>
    <t xml:space="preserve">08-Jan-2024</t>
  </si>
  <si>
    <t xml:space="preserve">Rachel Harris</t>
  </si>
  <si>
    <t xml:space="preserve">ORD-037</t>
  </si>
  <si>
    <t xml:space="preserve">2024-02-06</t>
  </si>
  <si>
    <t xml:space="preserve">ORD-038</t>
  </si>
  <si>
    <t xml:space="preserve">Alice Williams</t>
  </si>
  <si>
    <t xml:space="preserve">ORD-039</t>
  </si>
  <si>
    <t xml:space="preserve">14-Jan-2024</t>
  </si>
  <si>
    <t xml:space="preserve">Grace Jackson</t>
  </si>
  <si>
    <t xml:space="preserve">ORD-040</t>
  </si>
  <si>
    <t xml:space="preserve">2024-01-13</t>
  </si>
  <si>
    <t xml:space="preserve">ORD-041</t>
  </si>
  <si>
    <t xml:space="preserve">02/23/2024</t>
  </si>
  <si>
    <t xml:space="preserve">Emma Miller</t>
  </si>
  <si>
    <t xml:space="preserve">ORD-042</t>
  </si>
  <si>
    <t xml:space="preserve">02-Jan-2024</t>
  </si>
  <si>
    <t xml:space="preserve">Bob Anderson</t>
  </si>
  <si>
    <t xml:space="preserve">ORD-043</t>
  </si>
  <si>
    <t xml:space="preserve">2024-01-19</t>
  </si>
  <si>
    <t xml:space="preserve">ORD-044</t>
  </si>
  <si>
    <t xml:space="preserve">03/03/2024</t>
  </si>
  <si>
    <t xml:space="preserve">Tara Williams</t>
  </si>
  <si>
    <t xml:space="preserve">ORD-045</t>
  </si>
  <si>
    <t xml:space="preserve">04-Feb-2024</t>
  </si>
  <si>
    <t xml:space="preserve">Sam Clark</t>
  </si>
  <si>
    <t xml:space="preserve">ORD-046</t>
  </si>
  <si>
    <t xml:space="preserve">Sam Thompson</t>
  </si>
  <si>
    <t xml:space="preserve">ORD-047</t>
  </si>
  <si>
    <t xml:space="preserve">02/07/2024</t>
  </si>
  <si>
    <t xml:space="preserve">Isabel Jackson</t>
  </si>
  <si>
    <t xml:space="preserve">ORD-048</t>
  </si>
  <si>
    <t xml:space="preserve">21-Mar-2024</t>
  </si>
  <si>
    <t xml:space="preserve">Karen Williams</t>
  </si>
  <si>
    <t xml:space="preserve">Denim Jeans</t>
  </si>
  <si>
    <t xml:space="preserve">2024-03-21</t>
  </si>
  <si>
    <t xml:space="preserve">ORD-049</t>
  </si>
  <si>
    <t xml:space="preserve">02/20/2024</t>
  </si>
  <si>
    <t xml:space="preserve">ORD-050</t>
  </si>
  <si>
    <t xml:space="preserve">09-Mar-2024</t>
  </si>
  <si>
    <t xml:space="preserve">Carol Davis</t>
  </si>
  <si>
    <t xml:space="preserve">ORD-051</t>
  </si>
  <si>
    <t xml:space="preserve">James Clark</t>
  </si>
  <si>
    <t xml:space="preserve">Plant Pot</t>
  </si>
  <si>
    <t xml:space="preserve">ORD-052</t>
  </si>
  <si>
    <t xml:space="preserve">03/27/2024</t>
  </si>
  <si>
    <t xml:space="preserve">David Jones</t>
  </si>
  <si>
    <t xml:space="preserve">ORD-053</t>
  </si>
  <si>
    <t xml:space="preserve">Isabel Taylor</t>
  </si>
  <si>
    <t xml:space="preserve">ORD-054</t>
  </si>
  <si>
    <t xml:space="preserve">2024-03-11</t>
  </si>
  <si>
    <t xml:space="preserve">Quinn Martin</t>
  </si>
  <si>
    <t xml:space="preserve">ORD-055</t>
  </si>
  <si>
    <t xml:space="preserve">01/03/2024</t>
  </si>
  <si>
    <t xml:space="preserve">Bob Smith</t>
  </si>
  <si>
    <t xml:space="preserve">ORD-056</t>
  </si>
  <si>
    <t xml:space="preserve">21-Jan-2024</t>
  </si>
  <si>
    <t xml:space="preserve">Olivia Moore</t>
  </si>
  <si>
    <t xml:space="preserve">ORD-057</t>
  </si>
  <si>
    <t xml:space="preserve">2024-03-01</t>
  </si>
  <si>
    <t xml:space="preserve">Emma Moore</t>
  </si>
  <si>
    <t xml:space="preserve">ORD-058</t>
  </si>
  <si>
    <t xml:space="preserve">02/19/2024</t>
  </si>
  <si>
    <t xml:space="preserve">Noah Jones</t>
  </si>
  <si>
    <t xml:space="preserve">ORD-059</t>
  </si>
  <si>
    <t xml:space="preserve">12-Feb-2024</t>
  </si>
  <si>
    <t xml:space="preserve">Grace Davis</t>
  </si>
  <si>
    <t xml:space="preserve">ORD-060</t>
  </si>
  <si>
    <t xml:space="preserve">2024-02-25</t>
  </si>
  <si>
    <t xml:space="preserve">Tara Jones</t>
  </si>
  <si>
    <t xml:space="preserve">ORD-061</t>
  </si>
  <si>
    <t xml:space="preserve">01/26/2024</t>
  </si>
  <si>
    <t xml:space="preserve">Alice Garcia</t>
  </si>
  <si>
    <t xml:space="preserve">ORD-062</t>
  </si>
  <si>
    <t xml:space="preserve">2024-02-26</t>
  </si>
  <si>
    <t xml:space="preserve">Frank Brown</t>
  </si>
  <si>
    <t xml:space="preserve">ORD-063</t>
  </si>
  <si>
    <t xml:space="preserve">Grace Harris</t>
  </si>
  <si>
    <t xml:space="preserve">ORD-064</t>
  </si>
  <si>
    <t xml:space="preserve">27-Feb-2024</t>
  </si>
  <si>
    <t xml:space="preserve">Alice Miller</t>
  </si>
  <si>
    <t xml:space="preserve">ORD-065</t>
  </si>
  <si>
    <t xml:space="preserve">2024-02-09</t>
  </si>
  <si>
    <t xml:space="preserve">Liam Thompson</t>
  </si>
  <si>
    <t xml:space="preserve">ORD-066</t>
  </si>
  <si>
    <t xml:space="preserve">Alice Brown</t>
  </si>
  <si>
    <t xml:space="preserve">ORD-067</t>
  </si>
  <si>
    <t xml:space="preserve">19-Jan-2024</t>
  </si>
  <si>
    <t xml:space="preserve">David Clark</t>
  </si>
  <si>
    <t xml:space="preserve">ORD-068</t>
  </si>
  <si>
    <t xml:space="preserve">2024-02-24</t>
  </si>
  <si>
    <t xml:space="preserve">Tara Thompson</t>
  </si>
  <si>
    <t xml:space="preserve">ORD-069</t>
  </si>
  <si>
    <t xml:space="preserve">Bob White</t>
  </si>
  <si>
    <t xml:space="preserve">ORD-070</t>
  </si>
  <si>
    <t xml:space="preserve">26-Mar-2024</t>
  </si>
  <si>
    <t xml:space="preserve">2024-01-03</t>
  </si>
  <si>
    <t xml:space="preserve">2024-01-25</t>
  </si>
  <si>
    <t xml:space="preserve">2024-01-12</t>
  </si>
  <si>
    <t xml:space="preserve">2024-01-26</t>
  </si>
  <si>
    <t xml:space="preserve">2024-01-09</t>
  </si>
  <si>
    <t xml:space="preserve">2024-03-19</t>
  </si>
  <si>
    <t xml:space="preserve">2024-03-06</t>
  </si>
  <si>
    <t xml:space="preserve">2024-01-15</t>
  </si>
  <si>
    <t xml:space="preserve">2024-01-18</t>
  </si>
  <si>
    <t xml:space="preserve">2024-01-04</t>
  </si>
  <si>
    <t xml:space="preserve">2024-01-22</t>
  </si>
  <si>
    <t xml:space="preserve">2024-01-23</t>
  </si>
  <si>
    <t xml:space="preserve">2024-01-08</t>
  </si>
  <si>
    <t xml:space="preserve">2024-01-14</t>
  </si>
  <si>
    <t xml:space="preserve">2024-02-23</t>
  </si>
  <si>
    <t xml:space="preserve">2024-01-02</t>
  </si>
  <si>
    <t xml:space="preserve">2024-02-04</t>
  </si>
  <si>
    <t xml:space="preserve">2024-02-07</t>
  </si>
  <si>
    <t xml:space="preserve">2024-02-20</t>
  </si>
  <si>
    <t xml:space="preserve">2024-03-09</t>
  </si>
  <si>
    <t xml:space="preserve">2024-03-27</t>
  </si>
  <si>
    <t xml:space="preserve">2024-01-21</t>
  </si>
  <si>
    <t xml:space="preserve">2024-02-19</t>
  </si>
  <si>
    <t xml:space="preserve">2024-02-12</t>
  </si>
  <si>
    <t xml:space="preserve">2024-02-27</t>
  </si>
  <si>
    <t xml:space="preserve">2024-03-26</t>
  </si>
  <si>
    <t xml:space="preserve">NorthWave Retail — Q1 2024 Sales Summary</t>
  </si>
  <si>
    <t xml:space="preserve">DATA QUALITY</t>
  </si>
  <si>
    <t xml:space="preserve">Total orders (raw)</t>
  </si>
  <si>
    <t xml:space="preserve">Duplicate orders removed</t>
  </si>
  <si>
    <t xml:space="preserve">Revenue nulls filled</t>
  </si>
  <si>
    <t xml:space="preserve">Total orders (cleaned)</t>
  </si>
  <si>
    <t xml:space="preserve">REVENUE OVERVIEW</t>
  </si>
  <si>
    <t xml:space="preserve">Total revenue</t>
  </si>
  <si>
    <t xml:space="preserve">Average order value</t>
  </si>
  <si>
    <t xml:space="preserve">Total units sold</t>
  </si>
  <si>
    <t xml:space="preserve">REVENUE BY REGION</t>
  </si>
  <si>
    <t xml:space="preserve">REVENUE BY PRODUCT CATEGORY</t>
  </si>
  <si>
    <t xml:space="preserve">ORDER COUNT BY REGION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</si>
</sst>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2F5597"/>
      <name val="Arial"/>
      <family val="0"/>
      <charset val="1"/>
    </font>
    <font>
      <b val="true"/>
      <sz val="10"/>
      <color rgb="FF2F5597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9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0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9</v>
      </c>
      <c r="H2" s="2" t="n">
        <v>89.99</v>
      </c>
      <c r="I2" s="2" t="n">
        <v>809.91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n">
        <v>3</v>
      </c>
      <c r="H3" s="2" t="n">
        <v>19.99</v>
      </c>
      <c r="I3" s="2" t="n">
        <v>59.97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18</v>
      </c>
      <c r="E4" s="2" t="s">
        <v>24</v>
      </c>
      <c r="F4" s="2" t="s">
        <v>25</v>
      </c>
      <c r="G4" s="2" t="n">
        <v>8</v>
      </c>
      <c r="H4" s="2" t="n">
        <v>34.99</v>
      </c>
      <c r="I4" s="2" t="n">
        <v>279.92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19</v>
      </c>
      <c r="F5" s="2" t="s">
        <v>20</v>
      </c>
      <c r="G5" s="2" t="n">
        <v>14</v>
      </c>
      <c r="H5" s="2" t="n">
        <v>19.99</v>
      </c>
      <c r="I5" s="2" t="n">
        <v>279.86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12</v>
      </c>
      <c r="E6" s="2" t="s">
        <v>24</v>
      </c>
      <c r="F6" s="2" t="s">
        <v>33</v>
      </c>
      <c r="G6" s="2" t="n">
        <v>14</v>
      </c>
      <c r="H6" s="2" t="n">
        <v>74.99</v>
      </c>
      <c r="I6" s="2"/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18</v>
      </c>
      <c r="E7" s="2" t="s">
        <v>37</v>
      </c>
      <c r="F7" s="2" t="s">
        <v>38</v>
      </c>
      <c r="G7" s="2" t="n">
        <v>4</v>
      </c>
      <c r="H7" s="2" t="n">
        <v>44.99</v>
      </c>
      <c r="I7" s="2" t="n">
        <v>179.96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37</v>
      </c>
      <c r="F8" s="2" t="s">
        <v>43</v>
      </c>
      <c r="G8" s="2" t="n">
        <v>20</v>
      </c>
      <c r="H8" s="2" t="n">
        <v>39.99</v>
      </c>
      <c r="I8" s="2" t="n">
        <v>799.8</v>
      </c>
    </row>
    <row r="9" customFormat="false" ht="15" hidden="false" customHeight="false" outlineLevel="0" collapsed="false">
      <c r="A9" s="2" t="s">
        <v>44</v>
      </c>
      <c r="B9" s="2" t="s">
        <v>16</v>
      </c>
      <c r="C9" s="2" t="s">
        <v>45</v>
      </c>
      <c r="D9" s="2" t="s">
        <v>29</v>
      </c>
      <c r="E9" s="2" t="s">
        <v>37</v>
      </c>
      <c r="F9" s="2" t="s">
        <v>46</v>
      </c>
      <c r="G9" s="2" t="n">
        <v>3</v>
      </c>
      <c r="H9" s="2" t="n">
        <v>24.99</v>
      </c>
      <c r="I9" s="2" t="n">
        <v>74.97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18</v>
      </c>
      <c r="E10" s="2" t="s">
        <v>13</v>
      </c>
      <c r="F10" s="2" t="s">
        <v>50</v>
      </c>
      <c r="G10" s="2" t="n">
        <v>2</v>
      </c>
      <c r="H10" s="2" t="n">
        <v>29.99</v>
      </c>
      <c r="I10" s="2" t="n">
        <v>59.98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53</v>
      </c>
      <c r="D11" s="2" t="s">
        <v>29</v>
      </c>
      <c r="E11" s="2" t="s">
        <v>13</v>
      </c>
      <c r="F11" s="2" t="s">
        <v>54</v>
      </c>
      <c r="G11" s="2" t="n">
        <v>13</v>
      </c>
      <c r="H11" s="2" t="n">
        <v>59.99</v>
      </c>
      <c r="I11" s="2" t="n">
        <v>779.87</v>
      </c>
    </row>
    <row r="12" customFormat="false" ht="15" hidden="false" customHeight="false" outlineLevel="0" collapsed="false">
      <c r="A12" s="2" t="s">
        <v>51</v>
      </c>
      <c r="B12" s="2" t="s">
        <v>55</v>
      </c>
      <c r="C12" s="2" t="s">
        <v>53</v>
      </c>
      <c r="D12" s="2" t="s">
        <v>29</v>
      </c>
      <c r="E12" s="2" t="s">
        <v>13</v>
      </c>
      <c r="F12" s="2" t="s">
        <v>54</v>
      </c>
      <c r="G12" s="2" t="n">
        <v>13</v>
      </c>
      <c r="H12" s="2" t="n">
        <v>59.99</v>
      </c>
      <c r="I12" s="2" t="n">
        <v>779.87</v>
      </c>
    </row>
    <row r="13" customFormat="false" ht="15" hidden="false" customHeight="false" outlineLevel="0" collapsed="false">
      <c r="A13" s="2" t="s">
        <v>56</v>
      </c>
      <c r="B13" s="2" t="s">
        <v>57</v>
      </c>
      <c r="C13" s="2" t="s">
        <v>58</v>
      </c>
      <c r="D13" s="2" t="s">
        <v>12</v>
      </c>
      <c r="E13" s="2" t="s">
        <v>37</v>
      </c>
      <c r="F13" s="2" t="s">
        <v>43</v>
      </c>
      <c r="G13" s="2" t="n">
        <v>7</v>
      </c>
      <c r="H13" s="2" t="n">
        <v>39.99</v>
      </c>
      <c r="I13" s="2" t="n">
        <v>279.93</v>
      </c>
    </row>
    <row r="14" customFormat="false" ht="15" hidden="false" customHeight="false" outlineLevel="0" collapsed="false">
      <c r="A14" s="2" t="s">
        <v>59</v>
      </c>
      <c r="B14" s="2" t="s">
        <v>60</v>
      </c>
      <c r="C14" s="2" t="s">
        <v>61</v>
      </c>
      <c r="D14" s="2" t="s">
        <v>29</v>
      </c>
      <c r="E14" s="2" t="s">
        <v>24</v>
      </c>
      <c r="F14" s="2" t="s">
        <v>62</v>
      </c>
      <c r="G14" s="2" t="n">
        <v>6</v>
      </c>
      <c r="H14" s="2" t="n">
        <v>119.99</v>
      </c>
      <c r="I14" s="2" t="n">
        <v>719.94</v>
      </c>
    </row>
    <row r="15" customFormat="false" ht="15" hidden="false" customHeight="false" outlineLevel="0" collapsed="false">
      <c r="A15" s="2" t="s">
        <v>63</v>
      </c>
      <c r="B15" s="2" t="s">
        <v>64</v>
      </c>
      <c r="C15" s="2" t="s">
        <v>65</v>
      </c>
      <c r="D15" s="2" t="s">
        <v>12</v>
      </c>
      <c r="E15" s="2" t="s">
        <v>19</v>
      </c>
      <c r="F15" s="2" t="s">
        <v>20</v>
      </c>
      <c r="G15" s="2" t="n">
        <v>8</v>
      </c>
      <c r="H15" s="2" t="n">
        <v>19.99</v>
      </c>
      <c r="I15" s="2" t="n">
        <v>159.92</v>
      </c>
    </row>
    <row r="16" customFormat="false" ht="15" hidden="false" customHeight="false" outlineLevel="0" collapsed="false">
      <c r="A16" s="2" t="s">
        <v>66</v>
      </c>
      <c r="B16" s="2" t="s">
        <v>67</v>
      </c>
      <c r="C16" s="2" t="s">
        <v>58</v>
      </c>
      <c r="D16" s="2" t="s">
        <v>12</v>
      </c>
      <c r="E16" s="2" t="s">
        <v>37</v>
      </c>
      <c r="F16" s="2" t="s">
        <v>38</v>
      </c>
      <c r="G16" s="2" t="n">
        <v>13</v>
      </c>
      <c r="H16" s="2" t="n">
        <v>44.99</v>
      </c>
      <c r="I16" s="2"/>
    </row>
    <row r="17" customFormat="false" ht="15" hidden="false" customHeight="false" outlineLevel="0" collapsed="false">
      <c r="A17" s="2" t="s">
        <v>68</v>
      </c>
      <c r="B17" s="2" t="s">
        <v>69</v>
      </c>
      <c r="C17" s="2" t="s">
        <v>70</v>
      </c>
      <c r="D17" s="2" t="s">
        <v>42</v>
      </c>
      <c r="E17" s="2" t="s">
        <v>37</v>
      </c>
      <c r="F17" s="2" t="s">
        <v>38</v>
      </c>
      <c r="G17" s="2" t="n">
        <v>7</v>
      </c>
      <c r="H17" s="2" t="n">
        <v>44.99</v>
      </c>
      <c r="I17" s="2" t="n">
        <v>314.93</v>
      </c>
    </row>
    <row r="18" customFormat="false" ht="15" hidden="false" customHeight="false" outlineLevel="0" collapsed="false">
      <c r="A18" s="2" t="s">
        <v>71</v>
      </c>
      <c r="B18" s="2" t="s">
        <v>72</v>
      </c>
      <c r="C18" s="2" t="s">
        <v>73</v>
      </c>
      <c r="D18" s="2" t="s">
        <v>29</v>
      </c>
      <c r="E18" s="2" t="s">
        <v>13</v>
      </c>
      <c r="F18" s="2" t="s">
        <v>74</v>
      </c>
      <c r="G18" s="2" t="n">
        <v>8</v>
      </c>
      <c r="H18" s="2" t="n">
        <v>199.99</v>
      </c>
      <c r="I18" s="2" t="n">
        <v>1599.92</v>
      </c>
    </row>
    <row r="19" customFormat="false" ht="15" hidden="false" customHeight="false" outlineLevel="0" collapsed="false">
      <c r="A19" s="2" t="s">
        <v>75</v>
      </c>
      <c r="B19" s="2" t="s">
        <v>76</v>
      </c>
      <c r="C19" s="2" t="s">
        <v>77</v>
      </c>
      <c r="D19" s="2" t="s">
        <v>12</v>
      </c>
      <c r="E19" s="2" t="s">
        <v>37</v>
      </c>
      <c r="F19" s="2" t="s">
        <v>78</v>
      </c>
      <c r="G19" s="2" t="n">
        <v>19</v>
      </c>
      <c r="H19" s="2" t="n">
        <v>34.99</v>
      </c>
      <c r="I19" s="2" t="n">
        <v>664.81</v>
      </c>
    </row>
    <row r="20" customFormat="false" ht="15" hidden="false" customHeight="false" outlineLevel="0" collapsed="false">
      <c r="A20" s="2" t="s">
        <v>79</v>
      </c>
      <c r="B20" s="2" t="s">
        <v>80</v>
      </c>
      <c r="C20" s="2" t="s">
        <v>81</v>
      </c>
      <c r="D20" s="2" t="s">
        <v>12</v>
      </c>
      <c r="E20" s="2" t="s">
        <v>19</v>
      </c>
      <c r="F20" s="2" t="s">
        <v>82</v>
      </c>
      <c r="G20" s="2" t="n">
        <v>3</v>
      </c>
      <c r="H20" s="2" t="n">
        <v>49.99</v>
      </c>
      <c r="I20" s="2" t="n">
        <v>149.97</v>
      </c>
    </row>
    <row r="21" customFormat="false" ht="15" hidden="false" customHeight="false" outlineLevel="0" collapsed="false">
      <c r="A21" s="2" t="s">
        <v>83</v>
      </c>
      <c r="B21" s="2" t="s">
        <v>84</v>
      </c>
      <c r="C21" s="2" t="s">
        <v>36</v>
      </c>
      <c r="D21" s="2" t="s">
        <v>42</v>
      </c>
      <c r="E21" s="2" t="s">
        <v>37</v>
      </c>
      <c r="F21" s="2" t="s">
        <v>78</v>
      </c>
      <c r="G21" s="2" t="n">
        <v>20</v>
      </c>
      <c r="H21" s="2" t="n">
        <v>34.99</v>
      </c>
      <c r="I21" s="2" t="n">
        <v>699.8</v>
      </c>
    </row>
    <row r="22" customFormat="false" ht="15" hidden="false" customHeight="false" outlineLevel="0" collapsed="false">
      <c r="A22" s="2" t="s">
        <v>85</v>
      </c>
      <c r="B22" s="2" t="s">
        <v>86</v>
      </c>
      <c r="C22" s="2" t="s">
        <v>87</v>
      </c>
      <c r="D22" s="2" t="s">
        <v>18</v>
      </c>
      <c r="E22" s="2" t="s">
        <v>19</v>
      </c>
      <c r="F22" s="2" t="s">
        <v>88</v>
      </c>
      <c r="G22" s="2" t="n">
        <v>9</v>
      </c>
      <c r="H22" s="2" t="n">
        <v>24.99</v>
      </c>
      <c r="I22" s="2" t="n">
        <v>224.91</v>
      </c>
    </row>
    <row r="23" customFormat="false" ht="15" hidden="false" customHeight="false" outlineLevel="0" collapsed="false">
      <c r="A23" s="2" t="s">
        <v>89</v>
      </c>
      <c r="B23" s="2" t="s">
        <v>90</v>
      </c>
      <c r="C23" s="2" t="s">
        <v>91</v>
      </c>
      <c r="D23" s="2" t="s">
        <v>42</v>
      </c>
      <c r="E23" s="2" t="s">
        <v>24</v>
      </c>
      <c r="F23" s="2" t="s">
        <v>92</v>
      </c>
      <c r="G23" s="2" t="n">
        <v>11</v>
      </c>
      <c r="H23" s="2" t="n">
        <v>19.99</v>
      </c>
      <c r="I23" s="2" t="n">
        <v>219.89</v>
      </c>
    </row>
    <row r="24" customFormat="false" ht="15" hidden="false" customHeight="false" outlineLevel="0" collapsed="false">
      <c r="A24" s="2" t="s">
        <v>93</v>
      </c>
      <c r="B24" s="2" t="s">
        <v>94</v>
      </c>
      <c r="C24" s="2" t="s">
        <v>95</v>
      </c>
      <c r="D24" s="2" t="s">
        <v>18</v>
      </c>
      <c r="E24" s="2" t="s">
        <v>13</v>
      </c>
      <c r="F24" s="2" t="s">
        <v>14</v>
      </c>
      <c r="G24" s="2" t="n">
        <v>9</v>
      </c>
      <c r="H24" s="2" t="n">
        <v>89.99</v>
      </c>
      <c r="I24" s="2" t="n">
        <v>809.91</v>
      </c>
    </row>
    <row r="25" customFormat="false" ht="15" hidden="false" customHeight="false" outlineLevel="0" collapsed="false">
      <c r="A25" s="2" t="s">
        <v>93</v>
      </c>
      <c r="B25" s="2" t="s">
        <v>96</v>
      </c>
      <c r="C25" s="2" t="s">
        <v>95</v>
      </c>
      <c r="D25" s="2" t="s">
        <v>18</v>
      </c>
      <c r="E25" s="2" t="s">
        <v>13</v>
      </c>
      <c r="F25" s="2" t="s">
        <v>14</v>
      </c>
      <c r="G25" s="2" t="n">
        <v>9</v>
      </c>
      <c r="H25" s="2" t="n">
        <v>89.99</v>
      </c>
      <c r="I25" s="2" t="n">
        <v>809.91</v>
      </c>
    </row>
    <row r="26" customFormat="false" ht="15" hidden="false" customHeight="false" outlineLevel="0" collapsed="false">
      <c r="A26" s="2" t="s">
        <v>97</v>
      </c>
      <c r="B26" s="2" t="s">
        <v>98</v>
      </c>
      <c r="C26" s="2" t="s">
        <v>99</v>
      </c>
      <c r="D26" s="2" t="s">
        <v>29</v>
      </c>
      <c r="E26" s="2" t="s">
        <v>19</v>
      </c>
      <c r="F26" s="2" t="s">
        <v>88</v>
      </c>
      <c r="G26" s="2" t="n">
        <v>20</v>
      </c>
      <c r="H26" s="2" t="n">
        <v>24.99</v>
      </c>
      <c r="I26" s="2" t="n">
        <v>499.8</v>
      </c>
    </row>
    <row r="27" customFormat="false" ht="15" hidden="false" customHeight="false" outlineLevel="0" collapsed="false">
      <c r="A27" s="2" t="s">
        <v>100</v>
      </c>
      <c r="B27" s="2" t="s">
        <v>101</v>
      </c>
      <c r="C27" s="2" t="s">
        <v>102</v>
      </c>
      <c r="D27" s="2" t="s">
        <v>42</v>
      </c>
      <c r="E27" s="2" t="s">
        <v>19</v>
      </c>
      <c r="F27" s="2" t="s">
        <v>88</v>
      </c>
      <c r="G27" s="2" t="n">
        <v>1</v>
      </c>
      <c r="H27" s="2" t="n">
        <v>24.99</v>
      </c>
      <c r="I27" s="2" t="n">
        <v>24.99</v>
      </c>
    </row>
    <row r="28" customFormat="false" ht="15" hidden="false" customHeight="false" outlineLevel="0" collapsed="false">
      <c r="A28" s="2" t="s">
        <v>103</v>
      </c>
      <c r="B28" s="2" t="s">
        <v>104</v>
      </c>
      <c r="C28" s="2" t="s">
        <v>105</v>
      </c>
      <c r="D28" s="2" t="s">
        <v>12</v>
      </c>
      <c r="E28" s="2" t="s">
        <v>37</v>
      </c>
      <c r="F28" s="2" t="s">
        <v>43</v>
      </c>
      <c r="G28" s="2" t="n">
        <v>10</v>
      </c>
      <c r="H28" s="2" t="n">
        <v>39.99</v>
      </c>
      <c r="I28" s="2"/>
    </row>
    <row r="29" customFormat="false" ht="15" hidden="false" customHeight="false" outlineLevel="0" collapsed="false">
      <c r="A29" s="2" t="s">
        <v>106</v>
      </c>
      <c r="B29" s="2" t="s">
        <v>107</v>
      </c>
      <c r="C29" s="2" t="s">
        <v>108</v>
      </c>
      <c r="D29" s="2" t="s">
        <v>12</v>
      </c>
      <c r="E29" s="2" t="s">
        <v>13</v>
      </c>
      <c r="F29" s="2" t="s">
        <v>50</v>
      </c>
      <c r="G29" s="2" t="n">
        <v>16</v>
      </c>
      <c r="H29" s="2" t="n">
        <v>29.99</v>
      </c>
      <c r="I29" s="2" t="n">
        <v>479.84</v>
      </c>
    </row>
    <row r="30" customFormat="false" ht="15" hidden="false" customHeight="false" outlineLevel="0" collapsed="false">
      <c r="A30" s="2" t="s">
        <v>109</v>
      </c>
      <c r="B30" s="2" t="s">
        <v>110</v>
      </c>
      <c r="C30" s="2" t="s">
        <v>111</v>
      </c>
      <c r="D30" s="2" t="s">
        <v>42</v>
      </c>
      <c r="E30" s="2" t="s">
        <v>19</v>
      </c>
      <c r="F30" s="2" t="s">
        <v>82</v>
      </c>
      <c r="G30" s="2" t="n">
        <v>18</v>
      </c>
      <c r="H30" s="2" t="n">
        <v>49.99</v>
      </c>
      <c r="I30" s="2" t="n">
        <v>899.82</v>
      </c>
    </row>
    <row r="31" customFormat="false" ht="15" hidden="false" customHeight="false" outlineLevel="0" collapsed="false">
      <c r="A31" s="2" t="s">
        <v>112</v>
      </c>
      <c r="B31" s="2" t="s">
        <v>113</v>
      </c>
      <c r="C31" s="2" t="s">
        <v>77</v>
      </c>
      <c r="D31" s="2" t="s">
        <v>42</v>
      </c>
      <c r="E31" s="2" t="s">
        <v>24</v>
      </c>
      <c r="F31" s="2" t="s">
        <v>25</v>
      </c>
      <c r="G31" s="2" t="n">
        <v>10</v>
      </c>
      <c r="H31" s="2" t="n">
        <v>34.99</v>
      </c>
      <c r="I31" s="2" t="n">
        <v>349.9</v>
      </c>
    </row>
    <row r="32" customFormat="false" ht="15" hidden="false" customHeight="false" outlineLevel="0" collapsed="false">
      <c r="A32" s="2" t="s">
        <v>114</v>
      </c>
      <c r="B32" s="2" t="s">
        <v>115</v>
      </c>
      <c r="C32" s="2" t="s">
        <v>116</v>
      </c>
      <c r="D32" s="2" t="s">
        <v>29</v>
      </c>
      <c r="E32" s="2" t="s">
        <v>13</v>
      </c>
      <c r="F32" s="2" t="s">
        <v>54</v>
      </c>
      <c r="G32" s="2" t="n">
        <v>8</v>
      </c>
      <c r="H32" s="2" t="n">
        <v>59.99</v>
      </c>
      <c r="I32" s="2" t="n">
        <v>479.92</v>
      </c>
    </row>
    <row r="33" customFormat="false" ht="15" hidden="false" customHeight="false" outlineLevel="0" collapsed="false">
      <c r="A33" s="2" t="s">
        <v>117</v>
      </c>
      <c r="B33" s="2" t="s">
        <v>118</v>
      </c>
      <c r="C33" s="2" t="s">
        <v>119</v>
      </c>
      <c r="D33" s="2" t="s">
        <v>18</v>
      </c>
      <c r="E33" s="2" t="s">
        <v>19</v>
      </c>
      <c r="F33" s="2" t="s">
        <v>20</v>
      </c>
      <c r="G33" s="2" t="n">
        <v>8</v>
      </c>
      <c r="H33" s="2" t="n">
        <v>19.99</v>
      </c>
      <c r="I33" s="2" t="n">
        <v>159.92</v>
      </c>
    </row>
    <row r="34" customFormat="false" ht="15" hidden="false" customHeight="false" outlineLevel="0" collapsed="false">
      <c r="A34" s="2" t="s">
        <v>120</v>
      </c>
      <c r="B34" s="2" t="s">
        <v>121</v>
      </c>
      <c r="C34" s="2" t="s">
        <v>122</v>
      </c>
      <c r="D34" s="2" t="s">
        <v>29</v>
      </c>
      <c r="E34" s="2" t="s">
        <v>13</v>
      </c>
      <c r="F34" s="2" t="s">
        <v>123</v>
      </c>
      <c r="G34" s="2" t="n">
        <v>8</v>
      </c>
      <c r="H34" s="2" t="n">
        <v>34.99</v>
      </c>
      <c r="I34" s="2" t="n">
        <v>279.92</v>
      </c>
    </row>
    <row r="35" customFormat="false" ht="15" hidden="false" customHeight="false" outlineLevel="0" collapsed="false">
      <c r="A35" s="2" t="s">
        <v>124</v>
      </c>
      <c r="B35" s="2" t="s">
        <v>80</v>
      </c>
      <c r="C35" s="2" t="s">
        <v>125</v>
      </c>
      <c r="D35" s="2" t="s">
        <v>12</v>
      </c>
      <c r="E35" s="2" t="s">
        <v>24</v>
      </c>
      <c r="F35" s="2" t="s">
        <v>62</v>
      </c>
      <c r="G35" s="2" t="n">
        <v>9</v>
      </c>
      <c r="H35" s="2" t="n">
        <v>119.99</v>
      </c>
      <c r="I35" s="2" t="n">
        <v>1079.91</v>
      </c>
    </row>
    <row r="36" customFormat="false" ht="15" hidden="false" customHeight="false" outlineLevel="0" collapsed="false">
      <c r="A36" s="2" t="s">
        <v>126</v>
      </c>
      <c r="B36" s="2" t="s">
        <v>127</v>
      </c>
      <c r="C36" s="2" t="s">
        <v>128</v>
      </c>
      <c r="D36" s="2" t="s">
        <v>42</v>
      </c>
      <c r="E36" s="2" t="s">
        <v>19</v>
      </c>
      <c r="F36" s="2" t="s">
        <v>129</v>
      </c>
      <c r="G36" s="2" t="n">
        <v>16</v>
      </c>
      <c r="H36" s="2" t="n">
        <v>34.99</v>
      </c>
      <c r="I36" s="2"/>
    </row>
    <row r="37" customFormat="false" ht="15" hidden="false" customHeight="false" outlineLevel="0" collapsed="false">
      <c r="A37" s="2" t="s">
        <v>130</v>
      </c>
      <c r="B37" s="2" t="s">
        <v>104</v>
      </c>
      <c r="C37" s="2" t="s">
        <v>131</v>
      </c>
      <c r="D37" s="2" t="s">
        <v>42</v>
      </c>
      <c r="E37" s="2" t="s">
        <v>13</v>
      </c>
      <c r="F37" s="2" t="s">
        <v>54</v>
      </c>
      <c r="G37" s="2" t="n">
        <v>14</v>
      </c>
      <c r="H37" s="2" t="n">
        <v>59.99</v>
      </c>
      <c r="I37" s="2" t="n">
        <v>839.86</v>
      </c>
    </row>
    <row r="38" customFormat="false" ht="15" hidden="false" customHeight="false" outlineLevel="0" collapsed="false">
      <c r="A38" s="2" t="s">
        <v>132</v>
      </c>
      <c r="B38" s="2" t="s">
        <v>40</v>
      </c>
      <c r="C38" s="2" t="s">
        <v>133</v>
      </c>
      <c r="D38" s="2" t="s">
        <v>29</v>
      </c>
      <c r="E38" s="2" t="s">
        <v>13</v>
      </c>
      <c r="F38" s="2" t="s">
        <v>123</v>
      </c>
      <c r="G38" s="2" t="n">
        <v>4</v>
      </c>
      <c r="H38" s="2" t="n">
        <v>34.99</v>
      </c>
      <c r="I38" s="2" t="n">
        <v>139.96</v>
      </c>
    </row>
    <row r="39" customFormat="false" ht="15" hidden="false" customHeight="false" outlineLevel="0" collapsed="false">
      <c r="A39" s="2" t="s">
        <v>132</v>
      </c>
      <c r="B39" s="2" t="s">
        <v>134</v>
      </c>
      <c r="C39" s="2" t="s">
        <v>133</v>
      </c>
      <c r="D39" s="2" t="s">
        <v>29</v>
      </c>
      <c r="E39" s="2" t="s">
        <v>13</v>
      </c>
      <c r="F39" s="2" t="s">
        <v>123</v>
      </c>
      <c r="G39" s="2" t="n">
        <v>4</v>
      </c>
      <c r="H39" s="2" t="n">
        <v>34.99</v>
      </c>
      <c r="I39" s="2" t="n">
        <v>139.96</v>
      </c>
    </row>
    <row r="40" customFormat="false" ht="15" hidden="false" customHeight="false" outlineLevel="0" collapsed="false">
      <c r="A40" s="2" t="s">
        <v>135</v>
      </c>
      <c r="B40" s="2" t="s">
        <v>136</v>
      </c>
      <c r="C40" s="2" t="s">
        <v>137</v>
      </c>
      <c r="D40" s="2" t="s">
        <v>12</v>
      </c>
      <c r="E40" s="2" t="s">
        <v>24</v>
      </c>
      <c r="F40" s="2" t="s">
        <v>25</v>
      </c>
      <c r="G40" s="2" t="n">
        <v>7</v>
      </c>
      <c r="H40" s="2" t="n">
        <v>34.99</v>
      </c>
      <c r="I40" s="2" t="n">
        <v>244.93</v>
      </c>
    </row>
    <row r="41" customFormat="false" ht="15" hidden="false" customHeight="false" outlineLevel="0" collapsed="false">
      <c r="A41" s="2" t="s">
        <v>138</v>
      </c>
      <c r="B41" s="2" t="s">
        <v>139</v>
      </c>
      <c r="C41" s="2" t="s">
        <v>116</v>
      </c>
      <c r="D41" s="2" t="s">
        <v>42</v>
      </c>
      <c r="E41" s="2" t="s">
        <v>24</v>
      </c>
      <c r="F41" s="2" t="s">
        <v>92</v>
      </c>
      <c r="G41" s="2" t="n">
        <v>15</v>
      </c>
      <c r="H41" s="2" t="n">
        <v>19.99</v>
      </c>
      <c r="I41" s="2" t="n">
        <v>299.85</v>
      </c>
    </row>
    <row r="42" customFormat="false" ht="15" hidden="false" customHeight="false" outlineLevel="0" collapsed="false">
      <c r="A42" s="2" t="s">
        <v>140</v>
      </c>
      <c r="B42" s="2" t="s">
        <v>16</v>
      </c>
      <c r="C42" s="2" t="s">
        <v>141</v>
      </c>
      <c r="D42" s="2" t="s">
        <v>12</v>
      </c>
      <c r="E42" s="2" t="s">
        <v>13</v>
      </c>
      <c r="F42" s="2" t="s">
        <v>123</v>
      </c>
      <c r="G42" s="2" t="n">
        <v>18</v>
      </c>
      <c r="H42" s="2" t="n">
        <v>34.99</v>
      </c>
      <c r="I42" s="2" t="n">
        <v>629.82</v>
      </c>
    </row>
    <row r="43" customFormat="false" ht="15" hidden="false" customHeight="false" outlineLevel="0" collapsed="false">
      <c r="A43" s="2" t="s">
        <v>142</v>
      </c>
      <c r="B43" s="2" t="s">
        <v>143</v>
      </c>
      <c r="C43" s="2" t="s">
        <v>144</v>
      </c>
      <c r="D43" s="2" t="s">
        <v>18</v>
      </c>
      <c r="E43" s="2" t="s">
        <v>19</v>
      </c>
      <c r="F43" s="2" t="s">
        <v>82</v>
      </c>
      <c r="G43" s="2" t="n">
        <v>16</v>
      </c>
      <c r="H43" s="2" t="n">
        <v>49.99</v>
      </c>
      <c r="I43" s="2" t="n">
        <v>799.84</v>
      </c>
    </row>
    <row r="44" customFormat="false" ht="15" hidden="false" customHeight="false" outlineLevel="0" collapsed="false">
      <c r="A44" s="2" t="s">
        <v>145</v>
      </c>
      <c r="B44" s="2" t="s">
        <v>146</v>
      </c>
      <c r="C44" s="2" t="s">
        <v>53</v>
      </c>
      <c r="D44" s="2" t="s">
        <v>29</v>
      </c>
      <c r="E44" s="2" t="s">
        <v>13</v>
      </c>
      <c r="F44" s="2" t="s">
        <v>14</v>
      </c>
      <c r="G44" s="2" t="n">
        <v>13</v>
      </c>
      <c r="H44" s="2" t="n">
        <v>89.99</v>
      </c>
      <c r="I44" s="2" t="n">
        <v>1169.87</v>
      </c>
    </row>
    <row r="45" customFormat="false" ht="15" hidden="false" customHeight="false" outlineLevel="0" collapsed="false">
      <c r="A45" s="2" t="s">
        <v>147</v>
      </c>
      <c r="B45" s="2" t="s">
        <v>148</v>
      </c>
      <c r="C45" s="2" t="s">
        <v>149</v>
      </c>
      <c r="D45" s="2" t="s">
        <v>29</v>
      </c>
      <c r="E45" s="2" t="s">
        <v>19</v>
      </c>
      <c r="F45" s="2" t="s">
        <v>20</v>
      </c>
      <c r="G45" s="2" t="n">
        <v>16</v>
      </c>
      <c r="H45" s="2" t="n">
        <v>19.99</v>
      </c>
      <c r="I45" s="2" t="n">
        <v>319.84</v>
      </c>
    </row>
    <row r="46" customFormat="false" ht="15" hidden="false" customHeight="false" outlineLevel="0" collapsed="false">
      <c r="A46" s="2" t="s">
        <v>150</v>
      </c>
      <c r="B46" s="2" t="s">
        <v>151</v>
      </c>
      <c r="C46" s="2" t="s">
        <v>152</v>
      </c>
      <c r="D46" s="2" t="s">
        <v>18</v>
      </c>
      <c r="E46" s="2" t="s">
        <v>19</v>
      </c>
      <c r="F46" s="2" t="s">
        <v>129</v>
      </c>
      <c r="G46" s="2" t="n">
        <v>18</v>
      </c>
      <c r="H46" s="2" t="n">
        <v>34.99</v>
      </c>
      <c r="I46" s="2" t="n">
        <v>629.82</v>
      </c>
    </row>
    <row r="47" customFormat="false" ht="15" hidden="false" customHeight="false" outlineLevel="0" collapsed="false">
      <c r="A47" s="2" t="s">
        <v>153</v>
      </c>
      <c r="B47" s="2" t="s">
        <v>154</v>
      </c>
      <c r="C47" s="2" t="s">
        <v>95</v>
      </c>
      <c r="D47" s="2" t="s">
        <v>18</v>
      </c>
      <c r="E47" s="2" t="s">
        <v>19</v>
      </c>
      <c r="F47" s="2" t="s">
        <v>82</v>
      </c>
      <c r="G47" s="2" t="n">
        <v>17</v>
      </c>
      <c r="H47" s="2" t="n">
        <v>49.99</v>
      </c>
      <c r="I47" s="2" t="n">
        <v>849.83</v>
      </c>
    </row>
    <row r="48" customFormat="false" ht="15" hidden="false" customHeight="false" outlineLevel="0" collapsed="false">
      <c r="A48" s="2" t="s">
        <v>155</v>
      </c>
      <c r="B48" s="2" t="s">
        <v>156</v>
      </c>
      <c r="C48" s="2" t="s">
        <v>157</v>
      </c>
      <c r="D48" s="2" t="s">
        <v>12</v>
      </c>
      <c r="E48" s="2" t="s">
        <v>24</v>
      </c>
      <c r="F48" s="2" t="s">
        <v>33</v>
      </c>
      <c r="G48" s="2" t="n">
        <v>3</v>
      </c>
      <c r="H48" s="2" t="n">
        <v>74.99</v>
      </c>
      <c r="I48" s="2"/>
    </row>
    <row r="49" customFormat="false" ht="15" hidden="false" customHeight="false" outlineLevel="0" collapsed="false">
      <c r="A49" s="2" t="s">
        <v>158</v>
      </c>
      <c r="B49" s="2" t="s">
        <v>159</v>
      </c>
      <c r="C49" s="2" t="s">
        <v>160</v>
      </c>
      <c r="D49" s="2" t="s">
        <v>18</v>
      </c>
      <c r="E49" s="2" t="s">
        <v>19</v>
      </c>
      <c r="F49" s="2" t="s">
        <v>129</v>
      </c>
      <c r="G49" s="2" t="n">
        <v>8</v>
      </c>
      <c r="H49" s="2" t="n">
        <v>34.99</v>
      </c>
      <c r="I49" s="2" t="n">
        <v>279.92</v>
      </c>
    </row>
    <row r="50" customFormat="false" ht="15" hidden="false" customHeight="false" outlineLevel="0" collapsed="false">
      <c r="A50" s="2" t="s">
        <v>161</v>
      </c>
      <c r="B50" s="2" t="s">
        <v>107</v>
      </c>
      <c r="C50" s="2" t="s">
        <v>162</v>
      </c>
      <c r="D50" s="2" t="s">
        <v>29</v>
      </c>
      <c r="E50" s="2" t="s">
        <v>37</v>
      </c>
      <c r="F50" s="2" t="s">
        <v>78</v>
      </c>
      <c r="G50" s="2" t="n">
        <v>19</v>
      </c>
      <c r="H50" s="2" t="n">
        <v>34.99</v>
      </c>
      <c r="I50" s="2" t="n">
        <v>664.81</v>
      </c>
    </row>
    <row r="51" customFormat="false" ht="15" hidden="false" customHeight="false" outlineLevel="0" collapsed="false">
      <c r="A51" s="2" t="s">
        <v>163</v>
      </c>
      <c r="B51" s="2" t="s">
        <v>164</v>
      </c>
      <c r="C51" s="2" t="s">
        <v>165</v>
      </c>
      <c r="D51" s="2" t="s">
        <v>12</v>
      </c>
      <c r="E51" s="2" t="s">
        <v>37</v>
      </c>
      <c r="F51" s="2" t="s">
        <v>38</v>
      </c>
      <c r="G51" s="2" t="n">
        <v>8</v>
      </c>
      <c r="H51" s="2" t="n">
        <v>44.99</v>
      </c>
      <c r="I51" s="2" t="n">
        <v>359.92</v>
      </c>
    </row>
    <row r="52" customFormat="false" ht="15" hidden="false" customHeight="false" outlineLevel="0" collapsed="false">
      <c r="A52" s="2" t="s">
        <v>166</v>
      </c>
      <c r="B52" s="2" t="s">
        <v>167</v>
      </c>
      <c r="C52" s="2" t="s">
        <v>168</v>
      </c>
      <c r="D52" s="2" t="s">
        <v>18</v>
      </c>
      <c r="E52" s="2" t="s">
        <v>24</v>
      </c>
      <c r="F52" s="2" t="s">
        <v>169</v>
      </c>
      <c r="G52" s="2" t="n">
        <v>15</v>
      </c>
      <c r="H52" s="2" t="n">
        <v>59.99</v>
      </c>
      <c r="I52" s="2" t="n">
        <v>899.85</v>
      </c>
    </row>
    <row r="53" customFormat="false" ht="15" hidden="false" customHeight="false" outlineLevel="0" collapsed="false">
      <c r="A53" s="2" t="s">
        <v>166</v>
      </c>
      <c r="B53" s="2" t="s">
        <v>170</v>
      </c>
      <c r="C53" s="2" t="s">
        <v>168</v>
      </c>
      <c r="D53" s="2" t="s">
        <v>18</v>
      </c>
      <c r="E53" s="2" t="s">
        <v>24</v>
      </c>
      <c r="F53" s="2" t="s">
        <v>169</v>
      </c>
      <c r="G53" s="2" t="n">
        <v>15</v>
      </c>
      <c r="H53" s="2" t="n">
        <v>59.99</v>
      </c>
      <c r="I53" s="2" t="n">
        <v>899.85</v>
      </c>
    </row>
    <row r="54" customFormat="false" ht="15" hidden="false" customHeight="false" outlineLevel="0" collapsed="false">
      <c r="A54" s="2" t="s">
        <v>171</v>
      </c>
      <c r="B54" s="2" t="s">
        <v>172</v>
      </c>
      <c r="C54" s="2" t="s">
        <v>108</v>
      </c>
      <c r="D54" s="2" t="s">
        <v>12</v>
      </c>
      <c r="E54" s="2" t="s">
        <v>19</v>
      </c>
      <c r="F54" s="2" t="s">
        <v>129</v>
      </c>
      <c r="G54" s="2" t="n">
        <v>4</v>
      </c>
      <c r="H54" s="2" t="n">
        <v>34.99</v>
      </c>
      <c r="I54" s="2" t="n">
        <v>139.96</v>
      </c>
    </row>
    <row r="55" customFormat="false" ht="15" hidden="false" customHeight="false" outlineLevel="0" collapsed="false">
      <c r="A55" s="2" t="s">
        <v>173</v>
      </c>
      <c r="B55" s="2" t="s">
        <v>174</v>
      </c>
      <c r="C55" s="2" t="s">
        <v>175</v>
      </c>
      <c r="D55" s="2" t="s">
        <v>29</v>
      </c>
      <c r="E55" s="2" t="s">
        <v>13</v>
      </c>
      <c r="F55" s="2" t="s">
        <v>74</v>
      </c>
      <c r="G55" s="2" t="n">
        <v>12</v>
      </c>
      <c r="H55" s="2" t="n">
        <v>199.99</v>
      </c>
      <c r="I55" s="2" t="n">
        <v>2399.88</v>
      </c>
    </row>
    <row r="56" customFormat="false" ht="15" hidden="false" customHeight="false" outlineLevel="0" collapsed="false">
      <c r="A56" s="2" t="s">
        <v>176</v>
      </c>
      <c r="B56" s="2" t="s">
        <v>139</v>
      </c>
      <c r="C56" s="2" t="s">
        <v>177</v>
      </c>
      <c r="D56" s="2" t="s">
        <v>18</v>
      </c>
      <c r="E56" s="2" t="s">
        <v>37</v>
      </c>
      <c r="F56" s="2" t="s">
        <v>178</v>
      </c>
      <c r="G56" s="2" t="n">
        <v>18</v>
      </c>
      <c r="H56" s="2" t="n">
        <v>19.99</v>
      </c>
      <c r="I56" s="2" t="n">
        <v>359.82</v>
      </c>
    </row>
    <row r="57" customFormat="false" ht="15" hidden="false" customHeight="false" outlineLevel="0" collapsed="false">
      <c r="A57" s="2" t="s">
        <v>179</v>
      </c>
      <c r="B57" s="2" t="s">
        <v>180</v>
      </c>
      <c r="C57" s="2" t="s">
        <v>181</v>
      </c>
      <c r="D57" s="2" t="s">
        <v>29</v>
      </c>
      <c r="E57" s="2" t="s">
        <v>19</v>
      </c>
      <c r="F57" s="2" t="s">
        <v>20</v>
      </c>
      <c r="G57" s="2" t="n">
        <v>10</v>
      </c>
      <c r="H57" s="2" t="n">
        <v>19.99</v>
      </c>
      <c r="I57" s="2"/>
    </row>
    <row r="58" customFormat="false" ht="15" hidden="false" customHeight="false" outlineLevel="0" collapsed="false">
      <c r="A58" s="2" t="s">
        <v>182</v>
      </c>
      <c r="B58" s="2" t="s">
        <v>104</v>
      </c>
      <c r="C58" s="2" t="s">
        <v>183</v>
      </c>
      <c r="D58" s="2" t="s">
        <v>12</v>
      </c>
      <c r="E58" s="2" t="s">
        <v>19</v>
      </c>
      <c r="F58" s="2" t="s">
        <v>20</v>
      </c>
      <c r="G58" s="2" t="n">
        <v>5</v>
      </c>
      <c r="H58" s="2" t="n">
        <v>19.99</v>
      </c>
      <c r="I58" s="2" t="n">
        <v>99.95</v>
      </c>
    </row>
    <row r="59" customFormat="false" ht="15" hidden="false" customHeight="false" outlineLevel="0" collapsed="false">
      <c r="A59" s="2" t="s">
        <v>184</v>
      </c>
      <c r="B59" s="2" t="s">
        <v>185</v>
      </c>
      <c r="C59" s="2" t="s">
        <v>186</v>
      </c>
      <c r="D59" s="2" t="s">
        <v>29</v>
      </c>
      <c r="E59" s="2" t="s">
        <v>24</v>
      </c>
      <c r="F59" s="2" t="s">
        <v>25</v>
      </c>
      <c r="G59" s="2" t="n">
        <v>9</v>
      </c>
      <c r="H59" s="2" t="n">
        <v>34.99</v>
      </c>
      <c r="I59" s="2" t="n">
        <v>314.91</v>
      </c>
    </row>
    <row r="60" customFormat="false" ht="15" hidden="false" customHeight="false" outlineLevel="0" collapsed="false">
      <c r="A60" s="2" t="s">
        <v>187</v>
      </c>
      <c r="B60" s="2" t="s">
        <v>188</v>
      </c>
      <c r="C60" s="2" t="s">
        <v>189</v>
      </c>
      <c r="D60" s="2" t="s">
        <v>29</v>
      </c>
      <c r="E60" s="2" t="s">
        <v>37</v>
      </c>
      <c r="F60" s="2" t="s">
        <v>78</v>
      </c>
      <c r="G60" s="2" t="n">
        <v>9</v>
      </c>
      <c r="H60" s="2" t="n">
        <v>34.99</v>
      </c>
      <c r="I60" s="2" t="n">
        <v>314.91</v>
      </c>
    </row>
    <row r="61" customFormat="false" ht="15" hidden="false" customHeight="false" outlineLevel="0" collapsed="false">
      <c r="A61" s="2" t="s">
        <v>190</v>
      </c>
      <c r="B61" s="2" t="s">
        <v>191</v>
      </c>
      <c r="C61" s="2" t="s">
        <v>192</v>
      </c>
      <c r="D61" s="2" t="s">
        <v>42</v>
      </c>
      <c r="E61" s="2" t="s">
        <v>24</v>
      </c>
      <c r="F61" s="2" t="s">
        <v>92</v>
      </c>
      <c r="G61" s="2" t="n">
        <v>6</v>
      </c>
      <c r="H61" s="2" t="n">
        <v>19.99</v>
      </c>
      <c r="I61" s="2" t="n">
        <v>119.94</v>
      </c>
    </row>
    <row r="62" customFormat="false" ht="15" hidden="false" customHeight="false" outlineLevel="0" collapsed="false">
      <c r="A62" s="2" t="s">
        <v>193</v>
      </c>
      <c r="B62" s="2" t="s">
        <v>194</v>
      </c>
      <c r="C62" s="2" t="s">
        <v>195</v>
      </c>
      <c r="D62" s="2" t="s">
        <v>18</v>
      </c>
      <c r="E62" s="2" t="s">
        <v>13</v>
      </c>
      <c r="F62" s="2" t="s">
        <v>54</v>
      </c>
      <c r="G62" s="2" t="n">
        <v>3</v>
      </c>
      <c r="H62" s="2" t="n">
        <v>59.99</v>
      </c>
      <c r="I62" s="2" t="n">
        <v>179.97</v>
      </c>
    </row>
    <row r="63" customFormat="false" ht="15" hidden="false" customHeight="false" outlineLevel="0" collapsed="false">
      <c r="A63" s="2" t="s">
        <v>196</v>
      </c>
      <c r="B63" s="2" t="s">
        <v>197</v>
      </c>
      <c r="C63" s="2" t="s">
        <v>198</v>
      </c>
      <c r="D63" s="2" t="s">
        <v>18</v>
      </c>
      <c r="E63" s="2" t="s">
        <v>19</v>
      </c>
      <c r="F63" s="2" t="s">
        <v>20</v>
      </c>
      <c r="G63" s="2" t="n">
        <v>5</v>
      </c>
      <c r="H63" s="2" t="n">
        <v>19.99</v>
      </c>
      <c r="I63" s="2" t="n">
        <v>99.95</v>
      </c>
    </row>
    <row r="64" customFormat="false" ht="15" hidden="false" customHeight="false" outlineLevel="0" collapsed="false">
      <c r="A64" s="2" t="s">
        <v>199</v>
      </c>
      <c r="B64" s="2" t="s">
        <v>200</v>
      </c>
      <c r="C64" s="2" t="s">
        <v>201</v>
      </c>
      <c r="D64" s="2" t="s">
        <v>18</v>
      </c>
      <c r="E64" s="2" t="s">
        <v>13</v>
      </c>
      <c r="F64" s="2" t="s">
        <v>123</v>
      </c>
      <c r="G64" s="2" t="n">
        <v>12</v>
      </c>
      <c r="H64" s="2" t="n">
        <v>34.99</v>
      </c>
      <c r="I64" s="2" t="n">
        <v>419.88</v>
      </c>
    </row>
    <row r="65" customFormat="false" ht="15" hidden="false" customHeight="false" outlineLevel="0" collapsed="false">
      <c r="A65" s="2" t="s">
        <v>202</v>
      </c>
      <c r="B65" s="2" t="s">
        <v>203</v>
      </c>
      <c r="C65" s="2" t="s">
        <v>204</v>
      </c>
      <c r="D65" s="2" t="s">
        <v>12</v>
      </c>
      <c r="E65" s="2" t="s">
        <v>19</v>
      </c>
      <c r="F65" s="2" t="s">
        <v>20</v>
      </c>
      <c r="G65" s="2" t="n">
        <v>14</v>
      </c>
      <c r="H65" s="2" t="n">
        <v>19.99</v>
      </c>
      <c r="I65" s="2" t="n">
        <v>279.86</v>
      </c>
    </row>
    <row r="66" customFormat="false" ht="15" hidden="false" customHeight="false" outlineLevel="0" collapsed="false">
      <c r="A66" s="2" t="s">
        <v>205</v>
      </c>
      <c r="B66" s="2" t="s">
        <v>206</v>
      </c>
      <c r="C66" s="2" t="s">
        <v>207</v>
      </c>
      <c r="D66" s="2" t="s">
        <v>29</v>
      </c>
      <c r="E66" s="2" t="s">
        <v>24</v>
      </c>
      <c r="F66" s="2" t="s">
        <v>33</v>
      </c>
      <c r="G66" s="2" t="n">
        <v>14</v>
      </c>
      <c r="H66" s="2" t="n">
        <v>74.99</v>
      </c>
      <c r="I66" s="2" t="n">
        <v>1049.86</v>
      </c>
    </row>
    <row r="67" customFormat="false" ht="15" hidden="false" customHeight="false" outlineLevel="0" collapsed="false">
      <c r="A67" s="2" t="s">
        <v>205</v>
      </c>
      <c r="B67" s="2" t="s">
        <v>67</v>
      </c>
      <c r="C67" s="2" t="s">
        <v>207</v>
      </c>
      <c r="D67" s="2" t="s">
        <v>29</v>
      </c>
      <c r="E67" s="2" t="s">
        <v>24</v>
      </c>
      <c r="F67" s="2" t="s">
        <v>33</v>
      </c>
      <c r="G67" s="2" t="n">
        <v>14</v>
      </c>
      <c r="H67" s="2" t="n">
        <v>74.99</v>
      </c>
      <c r="I67" s="2" t="n">
        <v>1049.86</v>
      </c>
    </row>
    <row r="68" customFormat="false" ht="15" hidden="false" customHeight="false" outlineLevel="0" collapsed="false">
      <c r="A68" s="2" t="s">
        <v>208</v>
      </c>
      <c r="B68" s="2" t="s">
        <v>209</v>
      </c>
      <c r="C68" s="2" t="s">
        <v>210</v>
      </c>
      <c r="D68" s="2" t="s">
        <v>42</v>
      </c>
      <c r="E68" s="2" t="s">
        <v>24</v>
      </c>
      <c r="F68" s="2" t="s">
        <v>62</v>
      </c>
      <c r="G68" s="2" t="n">
        <v>9</v>
      </c>
      <c r="H68" s="2" t="n">
        <v>119.99</v>
      </c>
      <c r="I68" s="2" t="n">
        <v>1079.91</v>
      </c>
    </row>
    <row r="69" customFormat="false" ht="15" hidden="false" customHeight="false" outlineLevel="0" collapsed="false">
      <c r="A69" s="2" t="s">
        <v>211</v>
      </c>
      <c r="B69" s="2" t="s">
        <v>55</v>
      </c>
      <c r="C69" s="2" t="s">
        <v>212</v>
      </c>
      <c r="D69" s="2" t="s">
        <v>29</v>
      </c>
      <c r="E69" s="2" t="s">
        <v>19</v>
      </c>
      <c r="F69" s="2" t="s">
        <v>82</v>
      </c>
      <c r="G69" s="2" t="n">
        <v>8</v>
      </c>
      <c r="H69" s="2" t="n">
        <v>49.99</v>
      </c>
      <c r="I69" s="2"/>
    </row>
    <row r="70" customFormat="false" ht="15" hidden="false" customHeight="false" outlineLevel="0" collapsed="false">
      <c r="A70" s="2" t="s">
        <v>213</v>
      </c>
      <c r="B70" s="2" t="s">
        <v>214</v>
      </c>
      <c r="C70" s="2" t="s">
        <v>215</v>
      </c>
      <c r="D70" s="2" t="s">
        <v>42</v>
      </c>
      <c r="E70" s="2" t="s">
        <v>24</v>
      </c>
      <c r="F70" s="2" t="s">
        <v>62</v>
      </c>
      <c r="G70" s="2" t="n">
        <v>8</v>
      </c>
      <c r="H70" s="2" t="n">
        <v>119.99</v>
      </c>
      <c r="I70" s="2" t="n">
        <v>959.92</v>
      </c>
    </row>
    <row r="71" customFormat="false" ht="15" hidden="false" customHeight="false" outlineLevel="0" collapsed="false">
      <c r="A71" s="2" t="s">
        <v>216</v>
      </c>
      <c r="B71" s="2" t="s">
        <v>217</v>
      </c>
      <c r="C71" s="2" t="s">
        <v>218</v>
      </c>
      <c r="D71" s="2" t="s">
        <v>42</v>
      </c>
      <c r="E71" s="2" t="s">
        <v>13</v>
      </c>
      <c r="F71" s="2" t="s">
        <v>50</v>
      </c>
      <c r="G71" s="2" t="n">
        <v>9</v>
      </c>
      <c r="H71" s="2" t="n">
        <v>29.99</v>
      </c>
      <c r="I71" s="2" t="n">
        <v>269.91</v>
      </c>
    </row>
    <row r="72" customFormat="false" ht="15" hidden="false" customHeight="false" outlineLevel="0" collapsed="false">
      <c r="A72" s="2" t="s">
        <v>219</v>
      </c>
      <c r="B72" s="2" t="s">
        <v>180</v>
      </c>
      <c r="C72" s="2" t="s">
        <v>220</v>
      </c>
      <c r="D72" s="2" t="s">
        <v>29</v>
      </c>
      <c r="E72" s="2" t="s">
        <v>19</v>
      </c>
      <c r="F72" s="2" t="s">
        <v>20</v>
      </c>
      <c r="G72" s="2" t="n">
        <v>11</v>
      </c>
      <c r="H72" s="2" t="n">
        <v>19.99</v>
      </c>
      <c r="I72" s="2" t="n">
        <v>219.89</v>
      </c>
    </row>
    <row r="73" customFormat="false" ht="15" hidden="false" customHeight="false" outlineLevel="0" collapsed="false">
      <c r="A73" s="2" t="s">
        <v>221</v>
      </c>
      <c r="B73" s="2" t="s">
        <v>222</v>
      </c>
      <c r="C73" s="2" t="s">
        <v>223</v>
      </c>
      <c r="D73" s="2" t="s">
        <v>42</v>
      </c>
      <c r="E73" s="2" t="s">
        <v>24</v>
      </c>
      <c r="F73" s="2" t="s">
        <v>92</v>
      </c>
      <c r="G73" s="2" t="n">
        <v>2</v>
      </c>
      <c r="H73" s="2" t="n">
        <v>19.99</v>
      </c>
      <c r="I73" s="2" t="n">
        <v>39.98</v>
      </c>
    </row>
    <row r="74" customFormat="false" ht="15" hidden="false" customHeight="false" outlineLevel="0" collapsed="false">
      <c r="A74" s="2" t="s">
        <v>224</v>
      </c>
      <c r="B74" s="2" t="s">
        <v>225</v>
      </c>
      <c r="C74" s="2" t="s">
        <v>226</v>
      </c>
      <c r="D74" s="2" t="s">
        <v>18</v>
      </c>
      <c r="E74" s="2" t="s">
        <v>37</v>
      </c>
      <c r="F74" s="2" t="s">
        <v>38</v>
      </c>
      <c r="G74" s="2" t="n">
        <v>14</v>
      </c>
      <c r="H74" s="2" t="n">
        <v>44.99</v>
      </c>
      <c r="I74" s="2" t="n">
        <v>629.86</v>
      </c>
    </row>
    <row r="75" customFormat="false" ht="15" hidden="false" customHeight="false" outlineLevel="0" collapsed="false">
      <c r="A75" s="2" t="s">
        <v>227</v>
      </c>
      <c r="B75" s="2" t="s">
        <v>197</v>
      </c>
      <c r="C75" s="2" t="s">
        <v>228</v>
      </c>
      <c r="D75" s="2" t="s">
        <v>18</v>
      </c>
      <c r="E75" s="2" t="s">
        <v>24</v>
      </c>
      <c r="F75" s="2" t="s">
        <v>25</v>
      </c>
      <c r="G75" s="2" t="n">
        <v>9</v>
      </c>
      <c r="H75" s="2" t="n">
        <v>34.99</v>
      </c>
      <c r="I75" s="2"/>
    </row>
    <row r="76" customFormat="false" ht="15" hidden="false" customHeight="false" outlineLevel="0" collapsed="false">
      <c r="A76" s="2" t="s">
        <v>229</v>
      </c>
      <c r="B76" s="2" t="s">
        <v>230</v>
      </c>
      <c r="C76" s="2" t="s">
        <v>131</v>
      </c>
      <c r="D76" s="2" t="s">
        <v>18</v>
      </c>
      <c r="E76" s="2" t="s">
        <v>19</v>
      </c>
      <c r="F76" s="2" t="s">
        <v>20</v>
      </c>
      <c r="G76" s="2" t="n">
        <v>7</v>
      </c>
      <c r="H76" s="2" t="n">
        <v>19.99</v>
      </c>
      <c r="I76" s="2" t="n">
        <v>139.93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9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n">
        <v>9</v>
      </c>
      <c r="H2" s="4" t="n">
        <v>89.99</v>
      </c>
      <c r="I2" s="4" t="n">
        <f aca="false">G2*H2</f>
        <v>809.91</v>
      </c>
    </row>
    <row r="3" customFormat="false" ht="15" hidden="false" customHeight="false" outlineLevel="0" collapsed="false">
      <c r="A3" s="2" t="s">
        <v>15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20</v>
      </c>
      <c r="G3" s="3" t="n">
        <v>3</v>
      </c>
      <c r="H3" s="4" t="n">
        <v>19.99</v>
      </c>
      <c r="I3" s="4" t="n">
        <f aca="false">G3*H3</f>
        <v>59.97</v>
      </c>
    </row>
    <row r="4" customFormat="false" ht="15" hidden="false" customHeight="false" outlineLevel="0" collapsed="false">
      <c r="A4" s="2" t="s">
        <v>21</v>
      </c>
      <c r="B4" s="2" t="s">
        <v>231</v>
      </c>
      <c r="C4" s="2" t="s">
        <v>23</v>
      </c>
      <c r="D4" s="2" t="s">
        <v>18</v>
      </c>
      <c r="E4" s="2" t="s">
        <v>24</v>
      </c>
      <c r="F4" s="2" t="s">
        <v>25</v>
      </c>
      <c r="G4" s="3" t="n">
        <v>8</v>
      </c>
      <c r="H4" s="4" t="n">
        <v>34.99</v>
      </c>
      <c r="I4" s="4" t="n">
        <f aca="false">G4*H4</f>
        <v>279.92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19</v>
      </c>
      <c r="F5" s="2" t="s">
        <v>20</v>
      </c>
      <c r="G5" s="3" t="n">
        <v>14</v>
      </c>
      <c r="H5" s="4" t="n">
        <v>19.99</v>
      </c>
      <c r="I5" s="4" t="n">
        <f aca="false">G5*H5</f>
        <v>279.86</v>
      </c>
    </row>
    <row r="6" customFormat="false" ht="15" hidden="false" customHeight="false" outlineLevel="0" collapsed="false">
      <c r="A6" s="2" t="s">
        <v>30</v>
      </c>
      <c r="B6" s="2" t="s">
        <v>232</v>
      </c>
      <c r="C6" s="2" t="s">
        <v>32</v>
      </c>
      <c r="D6" s="2" t="s">
        <v>12</v>
      </c>
      <c r="E6" s="2" t="s">
        <v>24</v>
      </c>
      <c r="F6" s="2" t="s">
        <v>33</v>
      </c>
      <c r="G6" s="3" t="n">
        <v>14</v>
      </c>
      <c r="H6" s="4" t="n">
        <v>74.99</v>
      </c>
      <c r="I6" s="4" t="n">
        <f aca="false">G6*H6</f>
        <v>1049.86</v>
      </c>
    </row>
    <row r="7" customFormat="false" ht="15" hidden="false" customHeight="false" outlineLevel="0" collapsed="false">
      <c r="A7" s="2" t="s">
        <v>34</v>
      </c>
      <c r="B7" s="2" t="s">
        <v>232</v>
      </c>
      <c r="C7" s="2" t="s">
        <v>36</v>
      </c>
      <c r="D7" s="2" t="s">
        <v>18</v>
      </c>
      <c r="E7" s="2" t="s">
        <v>37</v>
      </c>
      <c r="F7" s="2" t="s">
        <v>38</v>
      </c>
      <c r="G7" s="3" t="n">
        <v>4</v>
      </c>
      <c r="H7" s="4" t="n">
        <v>44.99</v>
      </c>
      <c r="I7" s="4" t="n">
        <f aca="false">G7*H7</f>
        <v>179.96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37</v>
      </c>
      <c r="F8" s="2" t="s">
        <v>43</v>
      </c>
      <c r="G8" s="3" t="n">
        <v>20</v>
      </c>
      <c r="H8" s="4" t="n">
        <v>39.99</v>
      </c>
      <c r="I8" s="4" t="n">
        <f aca="false">G8*H8</f>
        <v>799.8</v>
      </c>
    </row>
    <row r="9" customFormat="false" ht="15" hidden="false" customHeight="false" outlineLevel="0" collapsed="false">
      <c r="A9" s="2" t="s">
        <v>44</v>
      </c>
      <c r="B9" s="2" t="s">
        <v>10</v>
      </c>
      <c r="C9" s="2" t="s">
        <v>45</v>
      </c>
      <c r="D9" s="2" t="s">
        <v>29</v>
      </c>
      <c r="E9" s="2" t="s">
        <v>37</v>
      </c>
      <c r="F9" s="2" t="s">
        <v>46</v>
      </c>
      <c r="G9" s="3" t="n">
        <v>3</v>
      </c>
      <c r="H9" s="4" t="n">
        <v>24.99</v>
      </c>
      <c r="I9" s="4" t="n">
        <f aca="false">G9*H9</f>
        <v>74.97</v>
      </c>
    </row>
    <row r="10" customFormat="false" ht="15" hidden="false" customHeight="false" outlineLevel="0" collapsed="false">
      <c r="A10" s="2" t="s">
        <v>47</v>
      </c>
      <c r="B10" s="2" t="s">
        <v>27</v>
      </c>
      <c r="C10" s="2" t="s">
        <v>49</v>
      </c>
      <c r="D10" s="2" t="s">
        <v>18</v>
      </c>
      <c r="E10" s="2" t="s">
        <v>13</v>
      </c>
      <c r="F10" s="2" t="s">
        <v>50</v>
      </c>
      <c r="G10" s="3" t="n">
        <v>2</v>
      </c>
      <c r="H10" s="4" t="n">
        <v>29.99</v>
      </c>
      <c r="I10" s="4" t="n">
        <f aca="false">G10*H10</f>
        <v>59.98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53</v>
      </c>
      <c r="D11" s="2" t="s">
        <v>29</v>
      </c>
      <c r="E11" s="2" t="s">
        <v>13</v>
      </c>
      <c r="F11" s="2" t="s">
        <v>54</v>
      </c>
      <c r="G11" s="3" t="n">
        <v>13</v>
      </c>
      <c r="H11" s="4" t="n">
        <v>59.99</v>
      </c>
      <c r="I11" s="4" t="n">
        <f aca="false">G11*H11</f>
        <v>779.87</v>
      </c>
    </row>
    <row r="12" customFormat="false" ht="15" hidden="false" customHeight="false" outlineLevel="0" collapsed="false">
      <c r="A12" s="2" t="s">
        <v>56</v>
      </c>
      <c r="B12" s="2" t="s">
        <v>233</v>
      </c>
      <c r="C12" s="2" t="s">
        <v>58</v>
      </c>
      <c r="D12" s="2" t="s">
        <v>12</v>
      </c>
      <c r="E12" s="2" t="s">
        <v>37</v>
      </c>
      <c r="F12" s="2" t="s">
        <v>43</v>
      </c>
      <c r="G12" s="3" t="n">
        <v>7</v>
      </c>
      <c r="H12" s="4" t="n">
        <v>39.99</v>
      </c>
      <c r="I12" s="4" t="n">
        <f aca="false">G12*H12</f>
        <v>279.93</v>
      </c>
    </row>
    <row r="13" customFormat="false" ht="15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29</v>
      </c>
      <c r="E13" s="2" t="s">
        <v>24</v>
      </c>
      <c r="F13" s="2" t="s">
        <v>62</v>
      </c>
      <c r="G13" s="3" t="n">
        <v>6</v>
      </c>
      <c r="H13" s="4" t="n">
        <v>119.99</v>
      </c>
      <c r="I13" s="4" t="n">
        <f aca="false">G13*H13</f>
        <v>719.94</v>
      </c>
    </row>
    <row r="14" customFormat="false" ht="15" hidden="false" customHeight="false" outlineLevel="0" collapsed="false">
      <c r="A14" s="2" t="s">
        <v>63</v>
      </c>
      <c r="B14" s="2" t="s">
        <v>69</v>
      </c>
      <c r="C14" s="2" t="s">
        <v>65</v>
      </c>
      <c r="D14" s="2" t="s">
        <v>12</v>
      </c>
      <c r="E14" s="2" t="s">
        <v>19</v>
      </c>
      <c r="F14" s="2" t="s">
        <v>20</v>
      </c>
      <c r="G14" s="3" t="n">
        <v>8</v>
      </c>
      <c r="H14" s="4" t="n">
        <v>19.99</v>
      </c>
      <c r="I14" s="4" t="n">
        <f aca="false">G14*H14</f>
        <v>159.92</v>
      </c>
    </row>
    <row r="15" customFormat="false" ht="15" hidden="false" customHeight="false" outlineLevel="0" collapsed="false">
      <c r="A15" s="2" t="s">
        <v>66</v>
      </c>
      <c r="B15" s="2" t="s">
        <v>234</v>
      </c>
      <c r="C15" s="2" t="s">
        <v>58</v>
      </c>
      <c r="D15" s="2" t="s">
        <v>12</v>
      </c>
      <c r="E15" s="2" t="s">
        <v>37</v>
      </c>
      <c r="F15" s="2" t="s">
        <v>38</v>
      </c>
      <c r="G15" s="3" t="n">
        <v>13</v>
      </c>
      <c r="H15" s="4" t="n">
        <v>44.99</v>
      </c>
      <c r="I15" s="4" t="n">
        <f aca="false">G15*H15</f>
        <v>584.87</v>
      </c>
    </row>
    <row r="16" customFormat="false" ht="15" hidden="false" customHeight="false" outlineLevel="0" collapsed="false">
      <c r="A16" s="2" t="s">
        <v>68</v>
      </c>
      <c r="B16" s="2" t="s">
        <v>69</v>
      </c>
      <c r="C16" s="2" t="s">
        <v>70</v>
      </c>
      <c r="D16" s="2" t="s">
        <v>42</v>
      </c>
      <c r="E16" s="2" t="s">
        <v>37</v>
      </c>
      <c r="F16" s="2" t="s">
        <v>38</v>
      </c>
      <c r="G16" s="3" t="n">
        <v>7</v>
      </c>
      <c r="H16" s="4" t="n">
        <v>44.99</v>
      </c>
      <c r="I16" s="4" t="n">
        <f aca="false">G16*H16</f>
        <v>314.93</v>
      </c>
    </row>
    <row r="17" customFormat="false" ht="15" hidden="false" customHeight="false" outlineLevel="0" collapsed="false">
      <c r="A17" s="2" t="s">
        <v>71</v>
      </c>
      <c r="B17" s="2" t="s">
        <v>235</v>
      </c>
      <c r="C17" s="2" t="s">
        <v>73</v>
      </c>
      <c r="D17" s="2" t="s">
        <v>29</v>
      </c>
      <c r="E17" s="2" t="s">
        <v>13</v>
      </c>
      <c r="F17" s="2" t="s">
        <v>74</v>
      </c>
      <c r="G17" s="3" t="n">
        <v>8</v>
      </c>
      <c r="H17" s="4" t="n">
        <v>199.99</v>
      </c>
      <c r="I17" s="4" t="n">
        <f aca="false">G17*H17</f>
        <v>1599.92</v>
      </c>
    </row>
    <row r="18" customFormat="false" ht="15" hidden="false" customHeight="false" outlineLevel="0" collapsed="false">
      <c r="A18" s="2" t="s">
        <v>75</v>
      </c>
      <c r="B18" s="2" t="s">
        <v>236</v>
      </c>
      <c r="C18" s="2" t="s">
        <v>77</v>
      </c>
      <c r="D18" s="2" t="s">
        <v>12</v>
      </c>
      <c r="E18" s="2" t="s">
        <v>37</v>
      </c>
      <c r="F18" s="2" t="s">
        <v>78</v>
      </c>
      <c r="G18" s="3" t="n">
        <v>19</v>
      </c>
      <c r="H18" s="4" t="n">
        <v>34.99</v>
      </c>
      <c r="I18" s="4" t="n">
        <f aca="false">G18*H18</f>
        <v>664.81</v>
      </c>
    </row>
    <row r="19" customFormat="false" ht="15" hidden="false" customHeight="false" outlineLevel="0" collapsed="false">
      <c r="A19" s="2" t="s">
        <v>79</v>
      </c>
      <c r="B19" s="2" t="s">
        <v>80</v>
      </c>
      <c r="C19" s="2" t="s">
        <v>81</v>
      </c>
      <c r="D19" s="2" t="s">
        <v>12</v>
      </c>
      <c r="E19" s="2" t="s">
        <v>19</v>
      </c>
      <c r="F19" s="2" t="s">
        <v>82</v>
      </c>
      <c r="G19" s="3" t="n">
        <v>3</v>
      </c>
      <c r="H19" s="4" t="n">
        <v>49.99</v>
      </c>
      <c r="I19" s="4" t="n">
        <f aca="false">G19*H19</f>
        <v>149.97</v>
      </c>
    </row>
    <row r="20" customFormat="false" ht="15" hidden="false" customHeight="false" outlineLevel="0" collapsed="false">
      <c r="A20" s="2" t="s">
        <v>83</v>
      </c>
      <c r="B20" s="2" t="s">
        <v>237</v>
      </c>
      <c r="C20" s="2" t="s">
        <v>36</v>
      </c>
      <c r="D20" s="2" t="s">
        <v>42</v>
      </c>
      <c r="E20" s="2" t="s">
        <v>37</v>
      </c>
      <c r="F20" s="2" t="s">
        <v>78</v>
      </c>
      <c r="G20" s="3" t="n">
        <v>20</v>
      </c>
      <c r="H20" s="4" t="n">
        <v>34.99</v>
      </c>
      <c r="I20" s="4" t="n">
        <f aca="false">G20*H20</f>
        <v>699.8</v>
      </c>
    </row>
    <row r="21" customFormat="false" ht="15" hidden="false" customHeight="false" outlineLevel="0" collapsed="false">
      <c r="A21" s="2" t="s">
        <v>85</v>
      </c>
      <c r="B21" s="2" t="s">
        <v>115</v>
      </c>
      <c r="C21" s="2" t="s">
        <v>87</v>
      </c>
      <c r="D21" s="2" t="s">
        <v>18</v>
      </c>
      <c r="E21" s="2" t="s">
        <v>19</v>
      </c>
      <c r="F21" s="2" t="s">
        <v>88</v>
      </c>
      <c r="G21" s="3" t="n">
        <v>9</v>
      </c>
      <c r="H21" s="4" t="n">
        <v>24.99</v>
      </c>
      <c r="I21" s="4" t="n">
        <f aca="false">G21*H21</f>
        <v>224.91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91</v>
      </c>
      <c r="D22" s="2" t="s">
        <v>42</v>
      </c>
      <c r="E22" s="2" t="s">
        <v>24</v>
      </c>
      <c r="F22" s="2" t="s">
        <v>92</v>
      </c>
      <c r="G22" s="3" t="n">
        <v>11</v>
      </c>
      <c r="H22" s="4" t="n">
        <v>19.99</v>
      </c>
      <c r="I22" s="4" t="n">
        <f aca="false">G22*H22</f>
        <v>219.89</v>
      </c>
    </row>
    <row r="23" customFormat="false" ht="15" hidden="false" customHeight="false" outlineLevel="0" collapsed="false">
      <c r="A23" s="2" t="s">
        <v>93</v>
      </c>
      <c r="B23" s="2" t="s">
        <v>238</v>
      </c>
      <c r="C23" s="2" t="s">
        <v>95</v>
      </c>
      <c r="D23" s="2" t="s">
        <v>18</v>
      </c>
      <c r="E23" s="2" t="s">
        <v>13</v>
      </c>
      <c r="F23" s="2" t="s">
        <v>14</v>
      </c>
      <c r="G23" s="3" t="n">
        <v>9</v>
      </c>
      <c r="H23" s="4" t="n">
        <v>89.99</v>
      </c>
      <c r="I23" s="4" t="n">
        <f aca="false">G23*H23</f>
        <v>809.91</v>
      </c>
    </row>
    <row r="24" customFormat="false" ht="15" hidden="false" customHeight="false" outlineLevel="0" collapsed="false">
      <c r="A24" s="2" t="s">
        <v>97</v>
      </c>
      <c r="B24" s="2" t="s">
        <v>98</v>
      </c>
      <c r="C24" s="2" t="s">
        <v>99</v>
      </c>
      <c r="D24" s="2" t="s">
        <v>29</v>
      </c>
      <c r="E24" s="2" t="s">
        <v>19</v>
      </c>
      <c r="F24" s="2" t="s">
        <v>88</v>
      </c>
      <c r="G24" s="3" t="n">
        <v>20</v>
      </c>
      <c r="H24" s="4" t="n">
        <v>24.99</v>
      </c>
      <c r="I24" s="4" t="n">
        <f aca="false">G24*H24</f>
        <v>499.8</v>
      </c>
    </row>
    <row r="25" customFormat="false" ht="15" hidden="false" customHeight="false" outlineLevel="0" collapsed="false">
      <c r="A25" s="2" t="s">
        <v>100</v>
      </c>
      <c r="B25" s="2" t="s">
        <v>239</v>
      </c>
      <c r="C25" s="2" t="s">
        <v>102</v>
      </c>
      <c r="D25" s="2" t="s">
        <v>42</v>
      </c>
      <c r="E25" s="2" t="s">
        <v>19</v>
      </c>
      <c r="F25" s="2" t="s">
        <v>88</v>
      </c>
      <c r="G25" s="3" t="n">
        <v>1</v>
      </c>
      <c r="H25" s="4" t="n">
        <v>24.99</v>
      </c>
      <c r="I25" s="4" t="n">
        <f aca="false">G25*H25</f>
        <v>24.99</v>
      </c>
    </row>
    <row r="26" customFormat="false" ht="15" hidden="false" customHeight="false" outlineLevel="0" collapsed="false">
      <c r="A26" s="2" t="s">
        <v>103</v>
      </c>
      <c r="B26" s="2" t="s">
        <v>240</v>
      </c>
      <c r="C26" s="2" t="s">
        <v>105</v>
      </c>
      <c r="D26" s="2" t="s">
        <v>12</v>
      </c>
      <c r="E26" s="2" t="s">
        <v>37</v>
      </c>
      <c r="F26" s="2" t="s">
        <v>43</v>
      </c>
      <c r="G26" s="3" t="n">
        <v>10</v>
      </c>
      <c r="H26" s="4" t="n">
        <v>39.99</v>
      </c>
      <c r="I26" s="4" t="n">
        <f aca="false">G26*H26</f>
        <v>399.9</v>
      </c>
    </row>
    <row r="27" customFormat="false" ht="15" hidden="false" customHeight="false" outlineLevel="0" collapsed="false">
      <c r="A27" s="2" t="s">
        <v>106</v>
      </c>
      <c r="B27" s="2" t="s">
        <v>107</v>
      </c>
      <c r="C27" s="2" t="s">
        <v>108</v>
      </c>
      <c r="D27" s="2" t="s">
        <v>12</v>
      </c>
      <c r="E27" s="2" t="s">
        <v>13</v>
      </c>
      <c r="F27" s="2" t="s">
        <v>50</v>
      </c>
      <c r="G27" s="3" t="n">
        <v>16</v>
      </c>
      <c r="H27" s="4" t="n">
        <v>29.99</v>
      </c>
      <c r="I27" s="4" t="n">
        <f aca="false">G27*H27</f>
        <v>479.84</v>
      </c>
    </row>
    <row r="28" customFormat="false" ht="15" hidden="false" customHeight="false" outlineLevel="0" collapsed="false">
      <c r="A28" s="2" t="s">
        <v>109</v>
      </c>
      <c r="B28" s="2" t="s">
        <v>241</v>
      </c>
      <c r="C28" s="2" t="s">
        <v>111</v>
      </c>
      <c r="D28" s="2" t="s">
        <v>42</v>
      </c>
      <c r="E28" s="2" t="s">
        <v>19</v>
      </c>
      <c r="F28" s="2" t="s">
        <v>82</v>
      </c>
      <c r="G28" s="3" t="n">
        <v>18</v>
      </c>
      <c r="H28" s="4" t="n">
        <v>49.99</v>
      </c>
      <c r="I28" s="4" t="n">
        <f aca="false">G28*H28</f>
        <v>899.82</v>
      </c>
    </row>
    <row r="29" customFormat="false" ht="15" hidden="false" customHeight="false" outlineLevel="0" collapsed="false">
      <c r="A29" s="2" t="s">
        <v>112</v>
      </c>
      <c r="B29" s="2" t="s">
        <v>239</v>
      </c>
      <c r="C29" s="2" t="s">
        <v>77</v>
      </c>
      <c r="D29" s="2" t="s">
        <v>42</v>
      </c>
      <c r="E29" s="2" t="s">
        <v>24</v>
      </c>
      <c r="F29" s="2" t="s">
        <v>25</v>
      </c>
      <c r="G29" s="3" t="n">
        <v>10</v>
      </c>
      <c r="H29" s="4" t="n">
        <v>34.99</v>
      </c>
      <c r="I29" s="4" t="n">
        <f aca="false">G29*H29</f>
        <v>349.9</v>
      </c>
    </row>
    <row r="30" customFormat="false" ht="15" hidden="false" customHeight="false" outlineLevel="0" collapsed="false">
      <c r="A30" s="2" t="s">
        <v>114</v>
      </c>
      <c r="B30" s="2" t="s">
        <v>115</v>
      </c>
      <c r="C30" s="2" t="s">
        <v>116</v>
      </c>
      <c r="D30" s="2" t="s">
        <v>29</v>
      </c>
      <c r="E30" s="2" t="s">
        <v>13</v>
      </c>
      <c r="F30" s="2" t="s">
        <v>54</v>
      </c>
      <c r="G30" s="3" t="n">
        <v>8</v>
      </c>
      <c r="H30" s="4" t="n">
        <v>59.99</v>
      </c>
      <c r="I30" s="4" t="n">
        <f aca="false">G30*H30</f>
        <v>479.92</v>
      </c>
    </row>
    <row r="31" customFormat="false" ht="15" hidden="false" customHeight="false" outlineLevel="0" collapsed="false">
      <c r="A31" s="2" t="s">
        <v>117</v>
      </c>
      <c r="B31" s="2" t="s">
        <v>154</v>
      </c>
      <c r="C31" s="2" t="s">
        <v>119</v>
      </c>
      <c r="D31" s="2" t="s">
        <v>18</v>
      </c>
      <c r="E31" s="2" t="s">
        <v>19</v>
      </c>
      <c r="F31" s="2" t="s">
        <v>20</v>
      </c>
      <c r="G31" s="3" t="n">
        <v>8</v>
      </c>
      <c r="H31" s="4" t="n">
        <v>19.99</v>
      </c>
      <c r="I31" s="4" t="n">
        <f aca="false">G31*H31</f>
        <v>159.92</v>
      </c>
    </row>
    <row r="32" customFormat="false" ht="15" hidden="false" customHeight="false" outlineLevel="0" collapsed="false">
      <c r="A32" s="2" t="s">
        <v>120</v>
      </c>
      <c r="B32" s="2" t="s">
        <v>242</v>
      </c>
      <c r="C32" s="2" t="s">
        <v>122</v>
      </c>
      <c r="D32" s="2" t="s">
        <v>29</v>
      </c>
      <c r="E32" s="2" t="s">
        <v>13</v>
      </c>
      <c r="F32" s="2" t="s">
        <v>123</v>
      </c>
      <c r="G32" s="3" t="n">
        <v>8</v>
      </c>
      <c r="H32" s="4" t="n">
        <v>34.99</v>
      </c>
      <c r="I32" s="4" t="n">
        <f aca="false">G32*H32</f>
        <v>279.92</v>
      </c>
    </row>
    <row r="33" customFormat="false" ht="15" hidden="false" customHeight="false" outlineLevel="0" collapsed="false">
      <c r="A33" s="2" t="s">
        <v>124</v>
      </c>
      <c r="B33" s="2" t="s">
        <v>80</v>
      </c>
      <c r="C33" s="2" t="s">
        <v>125</v>
      </c>
      <c r="D33" s="2" t="s">
        <v>12</v>
      </c>
      <c r="E33" s="2" t="s">
        <v>24</v>
      </c>
      <c r="F33" s="2" t="s">
        <v>62</v>
      </c>
      <c r="G33" s="3" t="n">
        <v>9</v>
      </c>
      <c r="H33" s="4" t="n">
        <v>119.99</v>
      </c>
      <c r="I33" s="4" t="n">
        <f aca="false">G33*H33</f>
        <v>1079.91</v>
      </c>
    </row>
    <row r="34" customFormat="false" ht="15" hidden="false" customHeight="false" outlineLevel="0" collapsed="false">
      <c r="A34" s="2" t="s">
        <v>126</v>
      </c>
      <c r="B34" s="2" t="s">
        <v>236</v>
      </c>
      <c r="C34" s="2" t="s">
        <v>128</v>
      </c>
      <c r="D34" s="2" t="s">
        <v>42</v>
      </c>
      <c r="E34" s="2" t="s">
        <v>19</v>
      </c>
      <c r="F34" s="2" t="s">
        <v>129</v>
      </c>
      <c r="G34" s="3" t="n">
        <v>16</v>
      </c>
      <c r="H34" s="4" t="n">
        <v>34.99</v>
      </c>
      <c r="I34" s="4" t="n">
        <f aca="false">G34*H34</f>
        <v>559.84</v>
      </c>
    </row>
    <row r="35" customFormat="false" ht="15" hidden="false" customHeight="false" outlineLevel="0" collapsed="false">
      <c r="A35" s="2" t="s">
        <v>130</v>
      </c>
      <c r="B35" s="2" t="s">
        <v>240</v>
      </c>
      <c r="C35" s="2" t="s">
        <v>131</v>
      </c>
      <c r="D35" s="2" t="s">
        <v>42</v>
      </c>
      <c r="E35" s="2" t="s">
        <v>13</v>
      </c>
      <c r="F35" s="2" t="s">
        <v>54</v>
      </c>
      <c r="G35" s="3" t="n">
        <v>14</v>
      </c>
      <c r="H35" s="4" t="n">
        <v>59.99</v>
      </c>
      <c r="I35" s="4" t="n">
        <f aca="false">G35*H35</f>
        <v>839.86</v>
      </c>
    </row>
    <row r="36" customFormat="false" ht="15" hidden="false" customHeight="false" outlineLevel="0" collapsed="false">
      <c r="A36" s="2" t="s">
        <v>132</v>
      </c>
      <c r="B36" s="2" t="s">
        <v>40</v>
      </c>
      <c r="C36" s="2" t="s">
        <v>133</v>
      </c>
      <c r="D36" s="2" t="s">
        <v>29</v>
      </c>
      <c r="E36" s="2" t="s">
        <v>13</v>
      </c>
      <c r="F36" s="2" t="s">
        <v>123</v>
      </c>
      <c r="G36" s="3" t="n">
        <v>4</v>
      </c>
      <c r="H36" s="4" t="n">
        <v>34.99</v>
      </c>
      <c r="I36" s="4" t="n">
        <f aca="false">G36*H36</f>
        <v>139.96</v>
      </c>
    </row>
    <row r="37" customFormat="false" ht="15" hidden="false" customHeight="false" outlineLevel="0" collapsed="false">
      <c r="A37" s="2" t="s">
        <v>135</v>
      </c>
      <c r="B37" s="2" t="s">
        <v>243</v>
      </c>
      <c r="C37" s="2" t="s">
        <v>137</v>
      </c>
      <c r="D37" s="2" t="s">
        <v>12</v>
      </c>
      <c r="E37" s="2" t="s">
        <v>24</v>
      </c>
      <c r="F37" s="2" t="s">
        <v>25</v>
      </c>
      <c r="G37" s="3" t="n">
        <v>7</v>
      </c>
      <c r="H37" s="4" t="n">
        <v>34.99</v>
      </c>
      <c r="I37" s="4" t="n">
        <f aca="false">G37*H37</f>
        <v>244.93</v>
      </c>
    </row>
    <row r="38" customFormat="false" ht="15" hidden="false" customHeight="false" outlineLevel="0" collapsed="false">
      <c r="A38" s="2" t="s">
        <v>138</v>
      </c>
      <c r="B38" s="2" t="s">
        <v>139</v>
      </c>
      <c r="C38" s="2" t="s">
        <v>116</v>
      </c>
      <c r="D38" s="2" t="s">
        <v>42</v>
      </c>
      <c r="E38" s="2" t="s">
        <v>24</v>
      </c>
      <c r="F38" s="2" t="s">
        <v>92</v>
      </c>
      <c r="G38" s="3" t="n">
        <v>15</v>
      </c>
      <c r="H38" s="4" t="n">
        <v>19.99</v>
      </c>
      <c r="I38" s="4" t="n">
        <f aca="false">G38*H38</f>
        <v>299.85</v>
      </c>
    </row>
    <row r="39" customFormat="false" ht="15" hidden="false" customHeight="false" outlineLevel="0" collapsed="false">
      <c r="A39" s="2" t="s">
        <v>140</v>
      </c>
      <c r="B39" s="2" t="s">
        <v>10</v>
      </c>
      <c r="C39" s="2" t="s">
        <v>141</v>
      </c>
      <c r="D39" s="2" t="s">
        <v>12</v>
      </c>
      <c r="E39" s="2" t="s">
        <v>13</v>
      </c>
      <c r="F39" s="2" t="s">
        <v>123</v>
      </c>
      <c r="G39" s="3" t="n">
        <v>18</v>
      </c>
      <c r="H39" s="4" t="n">
        <v>34.99</v>
      </c>
      <c r="I39" s="4" t="n">
        <f aca="false">G39*H39</f>
        <v>629.82</v>
      </c>
    </row>
    <row r="40" customFormat="false" ht="15" hidden="false" customHeight="false" outlineLevel="0" collapsed="false">
      <c r="A40" s="2" t="s">
        <v>142</v>
      </c>
      <c r="B40" s="2" t="s">
        <v>244</v>
      </c>
      <c r="C40" s="2" t="s">
        <v>144</v>
      </c>
      <c r="D40" s="2" t="s">
        <v>18</v>
      </c>
      <c r="E40" s="2" t="s">
        <v>19</v>
      </c>
      <c r="F40" s="2" t="s">
        <v>82</v>
      </c>
      <c r="G40" s="3" t="n">
        <v>16</v>
      </c>
      <c r="H40" s="4" t="n">
        <v>49.99</v>
      </c>
      <c r="I40" s="4" t="n">
        <f aca="false">G40*H40</f>
        <v>799.84</v>
      </c>
    </row>
    <row r="41" customFormat="false" ht="15" hidden="false" customHeight="false" outlineLevel="0" collapsed="false">
      <c r="A41" s="2" t="s">
        <v>145</v>
      </c>
      <c r="B41" s="2" t="s">
        <v>146</v>
      </c>
      <c r="C41" s="2" t="s">
        <v>53</v>
      </c>
      <c r="D41" s="2" t="s">
        <v>29</v>
      </c>
      <c r="E41" s="2" t="s">
        <v>13</v>
      </c>
      <c r="F41" s="2" t="s">
        <v>14</v>
      </c>
      <c r="G41" s="3" t="n">
        <v>13</v>
      </c>
      <c r="H41" s="4" t="n">
        <v>89.99</v>
      </c>
      <c r="I41" s="4" t="n">
        <f aca="false">G41*H41</f>
        <v>1169.87</v>
      </c>
    </row>
    <row r="42" customFormat="false" ht="15" hidden="false" customHeight="false" outlineLevel="0" collapsed="false">
      <c r="A42" s="2" t="s">
        <v>147</v>
      </c>
      <c r="B42" s="2" t="s">
        <v>245</v>
      </c>
      <c r="C42" s="2" t="s">
        <v>149</v>
      </c>
      <c r="D42" s="2" t="s">
        <v>29</v>
      </c>
      <c r="E42" s="2" t="s">
        <v>19</v>
      </c>
      <c r="F42" s="2" t="s">
        <v>20</v>
      </c>
      <c r="G42" s="3" t="n">
        <v>16</v>
      </c>
      <c r="H42" s="4" t="n">
        <v>19.99</v>
      </c>
      <c r="I42" s="4" t="n">
        <f aca="false">G42*H42</f>
        <v>319.84</v>
      </c>
    </row>
    <row r="43" customFormat="false" ht="15" hidden="false" customHeight="false" outlineLevel="0" collapsed="false">
      <c r="A43" s="2" t="s">
        <v>150</v>
      </c>
      <c r="B43" s="2" t="s">
        <v>246</v>
      </c>
      <c r="C43" s="2" t="s">
        <v>152</v>
      </c>
      <c r="D43" s="2" t="s">
        <v>18</v>
      </c>
      <c r="E43" s="2" t="s">
        <v>19</v>
      </c>
      <c r="F43" s="2" t="s">
        <v>129</v>
      </c>
      <c r="G43" s="3" t="n">
        <v>18</v>
      </c>
      <c r="H43" s="4" t="n">
        <v>34.99</v>
      </c>
      <c r="I43" s="4" t="n">
        <f aca="false">G43*H43</f>
        <v>629.82</v>
      </c>
    </row>
    <row r="44" customFormat="false" ht="15" hidden="false" customHeight="false" outlineLevel="0" collapsed="false">
      <c r="A44" s="2" t="s">
        <v>153</v>
      </c>
      <c r="B44" s="2" t="s">
        <v>154</v>
      </c>
      <c r="C44" s="2" t="s">
        <v>95</v>
      </c>
      <c r="D44" s="2" t="s">
        <v>18</v>
      </c>
      <c r="E44" s="2" t="s">
        <v>19</v>
      </c>
      <c r="F44" s="2" t="s">
        <v>82</v>
      </c>
      <c r="G44" s="3" t="n">
        <v>17</v>
      </c>
      <c r="H44" s="4" t="n">
        <v>49.99</v>
      </c>
      <c r="I44" s="4" t="n">
        <f aca="false">G44*H44</f>
        <v>849.83</v>
      </c>
    </row>
    <row r="45" customFormat="false" ht="15" hidden="false" customHeight="false" outlineLevel="0" collapsed="false">
      <c r="A45" s="2" t="s">
        <v>155</v>
      </c>
      <c r="B45" s="2" t="s">
        <v>107</v>
      </c>
      <c r="C45" s="2" t="s">
        <v>157</v>
      </c>
      <c r="D45" s="2" t="s">
        <v>12</v>
      </c>
      <c r="E45" s="2" t="s">
        <v>24</v>
      </c>
      <c r="F45" s="2" t="s">
        <v>33</v>
      </c>
      <c r="G45" s="3" t="n">
        <v>3</v>
      </c>
      <c r="H45" s="4" t="n">
        <v>74.99</v>
      </c>
      <c r="I45" s="4" t="n">
        <f aca="false">G45*H45</f>
        <v>224.97</v>
      </c>
    </row>
    <row r="46" customFormat="false" ht="15" hidden="false" customHeight="false" outlineLevel="0" collapsed="false">
      <c r="A46" s="2" t="s">
        <v>158</v>
      </c>
      <c r="B46" s="2" t="s">
        <v>247</v>
      </c>
      <c r="C46" s="2" t="s">
        <v>160</v>
      </c>
      <c r="D46" s="2" t="s">
        <v>18</v>
      </c>
      <c r="E46" s="2" t="s">
        <v>19</v>
      </c>
      <c r="F46" s="2" t="s">
        <v>129</v>
      </c>
      <c r="G46" s="3" t="n">
        <v>8</v>
      </c>
      <c r="H46" s="4" t="n">
        <v>34.99</v>
      </c>
      <c r="I46" s="4" t="n">
        <f aca="false">G46*H46</f>
        <v>279.92</v>
      </c>
    </row>
    <row r="47" customFormat="false" ht="15" hidden="false" customHeight="false" outlineLevel="0" collapsed="false">
      <c r="A47" s="2" t="s">
        <v>161</v>
      </c>
      <c r="B47" s="2" t="s">
        <v>107</v>
      </c>
      <c r="C47" s="2" t="s">
        <v>162</v>
      </c>
      <c r="D47" s="2" t="s">
        <v>29</v>
      </c>
      <c r="E47" s="2" t="s">
        <v>37</v>
      </c>
      <c r="F47" s="2" t="s">
        <v>78</v>
      </c>
      <c r="G47" s="3" t="n">
        <v>19</v>
      </c>
      <c r="H47" s="4" t="n">
        <v>34.99</v>
      </c>
      <c r="I47" s="4" t="n">
        <f aca="false">G47*H47</f>
        <v>664.81</v>
      </c>
    </row>
    <row r="48" customFormat="false" ht="15" hidden="false" customHeight="false" outlineLevel="0" collapsed="false">
      <c r="A48" s="2" t="s">
        <v>163</v>
      </c>
      <c r="B48" s="2" t="s">
        <v>248</v>
      </c>
      <c r="C48" s="2" t="s">
        <v>165</v>
      </c>
      <c r="D48" s="2" t="s">
        <v>12</v>
      </c>
      <c r="E48" s="2" t="s">
        <v>37</v>
      </c>
      <c r="F48" s="2" t="s">
        <v>38</v>
      </c>
      <c r="G48" s="3" t="n">
        <v>8</v>
      </c>
      <c r="H48" s="4" t="n">
        <v>44.99</v>
      </c>
      <c r="I48" s="4" t="n">
        <f aca="false">G48*H48</f>
        <v>359.92</v>
      </c>
    </row>
    <row r="49" customFormat="false" ht="15" hidden="false" customHeight="false" outlineLevel="0" collapsed="false">
      <c r="A49" s="2" t="s">
        <v>166</v>
      </c>
      <c r="B49" s="2" t="s">
        <v>170</v>
      </c>
      <c r="C49" s="2" t="s">
        <v>168</v>
      </c>
      <c r="D49" s="2" t="s">
        <v>18</v>
      </c>
      <c r="E49" s="2" t="s">
        <v>24</v>
      </c>
      <c r="F49" s="2" t="s">
        <v>169</v>
      </c>
      <c r="G49" s="3" t="n">
        <v>15</v>
      </c>
      <c r="H49" s="4" t="n">
        <v>59.99</v>
      </c>
      <c r="I49" s="4" t="n">
        <f aca="false">G49*H49</f>
        <v>899.85</v>
      </c>
    </row>
    <row r="50" customFormat="false" ht="15" hidden="false" customHeight="false" outlineLevel="0" collapsed="false">
      <c r="A50" s="2" t="s">
        <v>171</v>
      </c>
      <c r="B50" s="2" t="s">
        <v>249</v>
      </c>
      <c r="C50" s="2" t="s">
        <v>108</v>
      </c>
      <c r="D50" s="2" t="s">
        <v>12</v>
      </c>
      <c r="E50" s="2" t="s">
        <v>19</v>
      </c>
      <c r="F50" s="2" t="s">
        <v>129</v>
      </c>
      <c r="G50" s="3" t="n">
        <v>4</v>
      </c>
      <c r="H50" s="4" t="n">
        <v>34.99</v>
      </c>
      <c r="I50" s="4" t="n">
        <f aca="false">G50*H50</f>
        <v>139.96</v>
      </c>
    </row>
    <row r="51" customFormat="false" ht="15" hidden="false" customHeight="false" outlineLevel="0" collapsed="false">
      <c r="A51" s="2" t="s">
        <v>173</v>
      </c>
      <c r="B51" s="2" t="s">
        <v>250</v>
      </c>
      <c r="C51" s="2" t="s">
        <v>175</v>
      </c>
      <c r="D51" s="2" t="s">
        <v>29</v>
      </c>
      <c r="E51" s="2" t="s">
        <v>13</v>
      </c>
      <c r="F51" s="2" t="s">
        <v>74</v>
      </c>
      <c r="G51" s="3" t="n">
        <v>12</v>
      </c>
      <c r="H51" s="4" t="n">
        <v>199.99</v>
      </c>
      <c r="I51" s="4" t="n">
        <f aca="false">G51*H51</f>
        <v>2399.88</v>
      </c>
    </row>
    <row r="52" customFormat="false" ht="15" hidden="false" customHeight="false" outlineLevel="0" collapsed="false">
      <c r="A52" s="2" t="s">
        <v>176</v>
      </c>
      <c r="B52" s="2" t="s">
        <v>139</v>
      </c>
      <c r="C52" s="2" t="s">
        <v>177</v>
      </c>
      <c r="D52" s="2" t="s">
        <v>18</v>
      </c>
      <c r="E52" s="2" t="s">
        <v>37</v>
      </c>
      <c r="F52" s="2" t="s">
        <v>178</v>
      </c>
      <c r="G52" s="3" t="n">
        <v>18</v>
      </c>
      <c r="H52" s="4" t="n">
        <v>19.99</v>
      </c>
      <c r="I52" s="4" t="n">
        <f aca="false">G52*H52</f>
        <v>359.82</v>
      </c>
    </row>
    <row r="53" customFormat="false" ht="15" hidden="false" customHeight="false" outlineLevel="0" collapsed="false">
      <c r="A53" s="2" t="s">
        <v>179</v>
      </c>
      <c r="B53" s="2" t="s">
        <v>251</v>
      </c>
      <c r="C53" s="2" t="s">
        <v>181</v>
      </c>
      <c r="D53" s="2" t="s">
        <v>29</v>
      </c>
      <c r="E53" s="2" t="s">
        <v>19</v>
      </c>
      <c r="F53" s="2" t="s">
        <v>20</v>
      </c>
      <c r="G53" s="3" t="n">
        <v>10</v>
      </c>
      <c r="H53" s="4" t="n">
        <v>19.99</v>
      </c>
      <c r="I53" s="4" t="n">
        <f aca="false">G53*H53</f>
        <v>199.9</v>
      </c>
    </row>
    <row r="54" customFormat="false" ht="15" hidden="false" customHeight="false" outlineLevel="0" collapsed="false">
      <c r="A54" s="2" t="s">
        <v>182</v>
      </c>
      <c r="B54" s="2" t="s">
        <v>240</v>
      </c>
      <c r="C54" s="2" t="s">
        <v>183</v>
      </c>
      <c r="D54" s="2" t="s">
        <v>12</v>
      </c>
      <c r="E54" s="2" t="s">
        <v>19</v>
      </c>
      <c r="F54" s="2" t="s">
        <v>20</v>
      </c>
      <c r="G54" s="3" t="n">
        <v>5</v>
      </c>
      <c r="H54" s="4" t="n">
        <v>19.99</v>
      </c>
      <c r="I54" s="4" t="n">
        <f aca="false">G54*H54</f>
        <v>99.95</v>
      </c>
    </row>
    <row r="55" customFormat="false" ht="15" hidden="false" customHeight="false" outlineLevel="0" collapsed="false">
      <c r="A55" s="2" t="s">
        <v>184</v>
      </c>
      <c r="B55" s="2" t="s">
        <v>185</v>
      </c>
      <c r="C55" s="2" t="s">
        <v>186</v>
      </c>
      <c r="D55" s="2" t="s">
        <v>29</v>
      </c>
      <c r="E55" s="2" t="s">
        <v>24</v>
      </c>
      <c r="F55" s="2" t="s">
        <v>25</v>
      </c>
      <c r="G55" s="3" t="n">
        <v>9</v>
      </c>
      <c r="H55" s="4" t="n">
        <v>34.99</v>
      </c>
      <c r="I55" s="4" t="n">
        <f aca="false">G55*H55</f>
        <v>314.91</v>
      </c>
    </row>
    <row r="56" customFormat="false" ht="15" hidden="false" customHeight="false" outlineLevel="0" collapsed="false">
      <c r="A56" s="2" t="s">
        <v>187</v>
      </c>
      <c r="B56" s="2" t="s">
        <v>231</v>
      </c>
      <c r="C56" s="2" t="s">
        <v>189</v>
      </c>
      <c r="D56" s="2" t="s">
        <v>29</v>
      </c>
      <c r="E56" s="2" t="s">
        <v>37</v>
      </c>
      <c r="F56" s="2" t="s">
        <v>78</v>
      </c>
      <c r="G56" s="3" t="n">
        <v>9</v>
      </c>
      <c r="H56" s="4" t="n">
        <v>34.99</v>
      </c>
      <c r="I56" s="4" t="n">
        <f aca="false">G56*H56</f>
        <v>314.91</v>
      </c>
    </row>
    <row r="57" customFormat="false" ht="15" hidden="false" customHeight="false" outlineLevel="0" collapsed="false">
      <c r="A57" s="2" t="s">
        <v>190</v>
      </c>
      <c r="B57" s="2" t="s">
        <v>252</v>
      </c>
      <c r="C57" s="2" t="s">
        <v>192</v>
      </c>
      <c r="D57" s="2" t="s">
        <v>42</v>
      </c>
      <c r="E57" s="2" t="s">
        <v>24</v>
      </c>
      <c r="F57" s="2" t="s">
        <v>92</v>
      </c>
      <c r="G57" s="3" t="n">
        <v>6</v>
      </c>
      <c r="H57" s="4" t="n">
        <v>19.99</v>
      </c>
      <c r="I57" s="4" t="n">
        <f aca="false">G57*H57</f>
        <v>119.94</v>
      </c>
    </row>
    <row r="58" customFormat="false" ht="15" hidden="false" customHeight="false" outlineLevel="0" collapsed="false">
      <c r="A58" s="2" t="s">
        <v>193</v>
      </c>
      <c r="B58" s="2" t="s">
        <v>194</v>
      </c>
      <c r="C58" s="2" t="s">
        <v>195</v>
      </c>
      <c r="D58" s="2" t="s">
        <v>18</v>
      </c>
      <c r="E58" s="2" t="s">
        <v>13</v>
      </c>
      <c r="F58" s="2" t="s">
        <v>54</v>
      </c>
      <c r="G58" s="3" t="n">
        <v>3</v>
      </c>
      <c r="H58" s="4" t="n">
        <v>59.99</v>
      </c>
      <c r="I58" s="4" t="n">
        <f aca="false">G58*H58</f>
        <v>179.97</v>
      </c>
    </row>
    <row r="59" customFormat="false" ht="15" hidden="false" customHeight="false" outlineLevel="0" collapsed="false">
      <c r="A59" s="2" t="s">
        <v>196</v>
      </c>
      <c r="B59" s="2" t="s">
        <v>253</v>
      </c>
      <c r="C59" s="2" t="s">
        <v>198</v>
      </c>
      <c r="D59" s="2" t="s">
        <v>18</v>
      </c>
      <c r="E59" s="2" t="s">
        <v>19</v>
      </c>
      <c r="F59" s="2" t="s">
        <v>20</v>
      </c>
      <c r="G59" s="3" t="n">
        <v>5</v>
      </c>
      <c r="H59" s="4" t="n">
        <v>19.99</v>
      </c>
      <c r="I59" s="4" t="n">
        <f aca="false">G59*H59</f>
        <v>99.95</v>
      </c>
    </row>
    <row r="60" customFormat="false" ht="15" hidden="false" customHeight="false" outlineLevel="0" collapsed="false">
      <c r="A60" s="2" t="s">
        <v>199</v>
      </c>
      <c r="B60" s="2" t="s">
        <v>254</v>
      </c>
      <c r="C60" s="2" t="s">
        <v>201</v>
      </c>
      <c r="D60" s="2" t="s">
        <v>18</v>
      </c>
      <c r="E60" s="2" t="s">
        <v>13</v>
      </c>
      <c r="F60" s="2" t="s">
        <v>123</v>
      </c>
      <c r="G60" s="3" t="n">
        <v>12</v>
      </c>
      <c r="H60" s="4" t="n">
        <v>34.99</v>
      </c>
      <c r="I60" s="4" t="n">
        <f aca="false">G60*H60</f>
        <v>419.88</v>
      </c>
    </row>
    <row r="61" customFormat="false" ht="15" hidden="false" customHeight="false" outlineLevel="0" collapsed="false">
      <c r="A61" s="2" t="s">
        <v>202</v>
      </c>
      <c r="B61" s="2" t="s">
        <v>203</v>
      </c>
      <c r="C61" s="2" t="s">
        <v>204</v>
      </c>
      <c r="D61" s="2" t="s">
        <v>12</v>
      </c>
      <c r="E61" s="2" t="s">
        <v>19</v>
      </c>
      <c r="F61" s="2" t="s">
        <v>20</v>
      </c>
      <c r="G61" s="3" t="n">
        <v>14</v>
      </c>
      <c r="H61" s="4" t="n">
        <v>19.99</v>
      </c>
      <c r="I61" s="4" t="n">
        <f aca="false">G61*H61</f>
        <v>279.86</v>
      </c>
    </row>
    <row r="62" customFormat="false" ht="15" hidden="false" customHeight="false" outlineLevel="0" collapsed="false">
      <c r="A62" s="2" t="s">
        <v>205</v>
      </c>
      <c r="B62" s="2" t="s">
        <v>234</v>
      </c>
      <c r="C62" s="2" t="s">
        <v>207</v>
      </c>
      <c r="D62" s="2" t="s">
        <v>29</v>
      </c>
      <c r="E62" s="2" t="s">
        <v>24</v>
      </c>
      <c r="F62" s="2" t="s">
        <v>33</v>
      </c>
      <c r="G62" s="3" t="n">
        <v>14</v>
      </c>
      <c r="H62" s="4" t="n">
        <v>74.99</v>
      </c>
      <c r="I62" s="4" t="n">
        <f aca="false">G62*H62</f>
        <v>1049.86</v>
      </c>
    </row>
    <row r="63" customFormat="false" ht="15" hidden="false" customHeight="false" outlineLevel="0" collapsed="false">
      <c r="A63" s="2" t="s">
        <v>208</v>
      </c>
      <c r="B63" s="2" t="s">
        <v>209</v>
      </c>
      <c r="C63" s="2" t="s">
        <v>210</v>
      </c>
      <c r="D63" s="2" t="s">
        <v>42</v>
      </c>
      <c r="E63" s="2" t="s">
        <v>24</v>
      </c>
      <c r="F63" s="2" t="s">
        <v>62</v>
      </c>
      <c r="G63" s="3" t="n">
        <v>9</v>
      </c>
      <c r="H63" s="4" t="n">
        <v>119.99</v>
      </c>
      <c r="I63" s="4" t="n">
        <f aca="false">G63*H63</f>
        <v>1079.91</v>
      </c>
    </row>
    <row r="64" customFormat="false" ht="15" hidden="false" customHeight="false" outlineLevel="0" collapsed="false">
      <c r="A64" s="2" t="s">
        <v>211</v>
      </c>
      <c r="B64" s="2" t="s">
        <v>52</v>
      </c>
      <c r="C64" s="2" t="s">
        <v>212</v>
      </c>
      <c r="D64" s="2" t="s">
        <v>29</v>
      </c>
      <c r="E64" s="2" t="s">
        <v>19</v>
      </c>
      <c r="F64" s="2" t="s">
        <v>82</v>
      </c>
      <c r="G64" s="3" t="n">
        <v>8</v>
      </c>
      <c r="H64" s="4" t="n">
        <v>49.99</v>
      </c>
      <c r="I64" s="4" t="n">
        <f aca="false">G64*H64</f>
        <v>399.92</v>
      </c>
    </row>
    <row r="65" customFormat="false" ht="15" hidden="false" customHeight="false" outlineLevel="0" collapsed="false">
      <c r="A65" s="2" t="s">
        <v>213</v>
      </c>
      <c r="B65" s="2" t="s">
        <v>255</v>
      </c>
      <c r="C65" s="2" t="s">
        <v>215</v>
      </c>
      <c r="D65" s="2" t="s">
        <v>42</v>
      </c>
      <c r="E65" s="2" t="s">
        <v>24</v>
      </c>
      <c r="F65" s="2" t="s">
        <v>62</v>
      </c>
      <c r="G65" s="3" t="n">
        <v>8</v>
      </c>
      <c r="H65" s="4" t="n">
        <v>119.99</v>
      </c>
      <c r="I65" s="4" t="n">
        <f aca="false">G65*H65</f>
        <v>959.92</v>
      </c>
    </row>
    <row r="66" customFormat="false" ht="15" hidden="false" customHeight="false" outlineLevel="0" collapsed="false">
      <c r="A66" s="2" t="s">
        <v>216</v>
      </c>
      <c r="B66" s="2" t="s">
        <v>217</v>
      </c>
      <c r="C66" s="2" t="s">
        <v>218</v>
      </c>
      <c r="D66" s="2" t="s">
        <v>42</v>
      </c>
      <c r="E66" s="2" t="s">
        <v>13</v>
      </c>
      <c r="F66" s="2" t="s">
        <v>50</v>
      </c>
      <c r="G66" s="3" t="n">
        <v>9</v>
      </c>
      <c r="H66" s="4" t="n">
        <v>29.99</v>
      </c>
      <c r="I66" s="4" t="n">
        <f aca="false">G66*H66</f>
        <v>269.91</v>
      </c>
    </row>
    <row r="67" customFormat="false" ht="15" hidden="false" customHeight="false" outlineLevel="0" collapsed="false">
      <c r="A67" s="2" t="s">
        <v>219</v>
      </c>
      <c r="B67" s="2" t="s">
        <v>251</v>
      </c>
      <c r="C67" s="2" t="s">
        <v>220</v>
      </c>
      <c r="D67" s="2" t="s">
        <v>29</v>
      </c>
      <c r="E67" s="2" t="s">
        <v>19</v>
      </c>
      <c r="F67" s="2" t="s">
        <v>20</v>
      </c>
      <c r="G67" s="3" t="n">
        <v>11</v>
      </c>
      <c r="H67" s="4" t="n">
        <v>19.99</v>
      </c>
      <c r="I67" s="4" t="n">
        <f aca="false">G67*H67</f>
        <v>219.89</v>
      </c>
    </row>
    <row r="68" customFormat="false" ht="15" hidden="false" customHeight="false" outlineLevel="0" collapsed="false">
      <c r="A68" s="2" t="s">
        <v>221</v>
      </c>
      <c r="B68" s="2" t="s">
        <v>154</v>
      </c>
      <c r="C68" s="2" t="s">
        <v>223</v>
      </c>
      <c r="D68" s="2" t="s">
        <v>42</v>
      </c>
      <c r="E68" s="2" t="s">
        <v>24</v>
      </c>
      <c r="F68" s="2" t="s">
        <v>92</v>
      </c>
      <c r="G68" s="3" t="n">
        <v>2</v>
      </c>
      <c r="H68" s="4" t="n">
        <v>19.99</v>
      </c>
      <c r="I68" s="4" t="n">
        <f aca="false">G68*H68</f>
        <v>39.98</v>
      </c>
    </row>
    <row r="69" customFormat="false" ht="15" hidden="false" customHeight="false" outlineLevel="0" collapsed="false">
      <c r="A69" s="2" t="s">
        <v>224</v>
      </c>
      <c r="B69" s="2" t="s">
        <v>225</v>
      </c>
      <c r="C69" s="2" t="s">
        <v>226</v>
      </c>
      <c r="D69" s="2" t="s">
        <v>18</v>
      </c>
      <c r="E69" s="2" t="s">
        <v>37</v>
      </c>
      <c r="F69" s="2" t="s">
        <v>38</v>
      </c>
      <c r="G69" s="3" t="n">
        <v>14</v>
      </c>
      <c r="H69" s="4" t="n">
        <v>44.99</v>
      </c>
      <c r="I69" s="4" t="n">
        <f aca="false">G69*H69</f>
        <v>629.86</v>
      </c>
    </row>
    <row r="70" customFormat="false" ht="15" hidden="false" customHeight="false" outlineLevel="0" collapsed="false">
      <c r="A70" s="2" t="s">
        <v>227</v>
      </c>
      <c r="B70" s="2" t="s">
        <v>253</v>
      </c>
      <c r="C70" s="2" t="s">
        <v>228</v>
      </c>
      <c r="D70" s="2" t="s">
        <v>18</v>
      </c>
      <c r="E70" s="2" t="s">
        <v>24</v>
      </c>
      <c r="F70" s="2" t="s">
        <v>25</v>
      </c>
      <c r="G70" s="3" t="n">
        <v>9</v>
      </c>
      <c r="H70" s="4" t="n">
        <v>34.99</v>
      </c>
      <c r="I70" s="4" t="n">
        <f aca="false">G70*H70</f>
        <v>314.91</v>
      </c>
    </row>
    <row r="71" customFormat="false" ht="15" hidden="false" customHeight="false" outlineLevel="0" collapsed="false">
      <c r="A71" s="2" t="s">
        <v>229</v>
      </c>
      <c r="B71" s="2" t="s">
        <v>256</v>
      </c>
      <c r="C71" s="2" t="s">
        <v>131</v>
      </c>
      <c r="D71" s="2" t="s">
        <v>18</v>
      </c>
      <c r="E71" s="2" t="s">
        <v>19</v>
      </c>
      <c r="F71" s="2" t="s">
        <v>20</v>
      </c>
      <c r="G71" s="3" t="n">
        <v>7</v>
      </c>
      <c r="H71" s="4" t="n">
        <v>19.99</v>
      </c>
      <c r="I71" s="4" t="n">
        <f aca="false">G71*H71</f>
        <v>139.93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24" hidden="false" customHeight="true" outlineLevel="0" collapsed="false">
      <c r="A1" s="5" t="s">
        <v>257</v>
      </c>
      <c r="B1" s="5"/>
    </row>
    <row r="3" customFormat="false" ht="15" hidden="false" customHeight="false" outlineLevel="0" collapsed="false">
      <c r="A3" s="6" t="s">
        <v>258</v>
      </c>
      <c r="B3" s="6"/>
    </row>
    <row r="4" customFormat="false" ht="15" hidden="false" customHeight="false" outlineLevel="0" collapsed="false">
      <c r="A4" s="7" t="s">
        <v>259</v>
      </c>
      <c r="B4" s="8" t="n">
        <f aca="false">COUNTA('Raw Data'!A2:A76)</f>
        <v>75</v>
      </c>
    </row>
    <row r="5" customFormat="false" ht="15" hidden="false" customHeight="false" outlineLevel="0" collapsed="false">
      <c r="A5" s="7" t="s">
        <v>260</v>
      </c>
      <c r="B5" s="8" t="n">
        <v>5</v>
      </c>
    </row>
    <row r="6" customFormat="false" ht="15" hidden="false" customHeight="false" outlineLevel="0" collapsed="false">
      <c r="A6" s="7" t="s">
        <v>261</v>
      </c>
      <c r="B6" s="8" t="n">
        <v>8</v>
      </c>
    </row>
    <row r="7" customFormat="false" ht="15" hidden="false" customHeight="false" outlineLevel="0" collapsed="false">
      <c r="A7" s="7" t="s">
        <v>262</v>
      </c>
      <c r="B7" s="8" t="n">
        <f aca="false">COUNTA('Cleaned Data'!A2:A71)</f>
        <v>70</v>
      </c>
    </row>
    <row r="9" customFormat="false" ht="15" hidden="false" customHeight="false" outlineLevel="0" collapsed="false">
      <c r="A9" s="6" t="s">
        <v>263</v>
      </c>
      <c r="B9" s="6"/>
    </row>
    <row r="10" customFormat="false" ht="15" hidden="false" customHeight="false" outlineLevel="0" collapsed="false">
      <c r="A10" s="7" t="s">
        <v>264</v>
      </c>
      <c r="B10" s="9" t="n">
        <f aca="false">SUM('Cleaned Data'!I2:I71)</f>
        <v>34402.77</v>
      </c>
    </row>
    <row r="11" customFormat="false" ht="15" hidden="false" customHeight="false" outlineLevel="0" collapsed="false">
      <c r="A11" s="7" t="s">
        <v>265</v>
      </c>
      <c r="B11" s="9" t="n">
        <f aca="false">AVERAGE('Cleaned Data'!I2:I71)</f>
        <v>491.468142857143</v>
      </c>
    </row>
    <row r="12" customFormat="false" ht="15" hidden="false" customHeight="false" outlineLevel="0" collapsed="false">
      <c r="A12" s="7" t="s">
        <v>266</v>
      </c>
      <c r="B12" s="10" t="n">
        <f aca="false">SUM('Cleaned Data'!G2:G71)</f>
        <v>723</v>
      </c>
    </row>
    <row r="14" customFormat="false" ht="15" hidden="false" customHeight="false" outlineLevel="0" collapsed="false">
      <c r="A14" s="6" t="s">
        <v>267</v>
      </c>
      <c r="B14" s="6"/>
    </row>
    <row r="15" customFormat="false" ht="15" hidden="false" customHeight="false" outlineLevel="0" collapsed="false">
      <c r="A15" s="7" t="s">
        <v>18</v>
      </c>
      <c r="B15" s="9" t="n">
        <f aca="false">SUMIF('Cleaned Data'!D$2:D$71,"North",'Cleaned Data'!I$2:I$71)</f>
        <v>7378.15</v>
      </c>
    </row>
    <row r="16" customFormat="false" ht="15" hidden="false" customHeight="false" outlineLevel="0" collapsed="false">
      <c r="A16" s="7" t="s">
        <v>12</v>
      </c>
      <c r="B16" s="9" t="n">
        <f aca="false">SUMIF('Cleaned Data'!D$2:D$71,"South",'Cleaned Data'!I$2:I$71)</f>
        <v>7638.33</v>
      </c>
    </row>
    <row r="17" customFormat="false" ht="15" hidden="false" customHeight="false" outlineLevel="0" collapsed="false">
      <c r="A17" s="7" t="s">
        <v>29</v>
      </c>
      <c r="B17" s="9" t="n">
        <f aca="false">SUMIF('Cleaned Data'!D$2:D$71,"East",'Cleaned Data'!I$2:I$71)</f>
        <v>11907.95</v>
      </c>
    </row>
    <row r="18" customFormat="false" ht="15" hidden="false" customHeight="false" outlineLevel="0" collapsed="false">
      <c r="A18" s="7" t="s">
        <v>42</v>
      </c>
      <c r="B18" s="9" t="n">
        <f aca="false">SUMIF('Cleaned Data'!D$2:D$71,"West",'Cleaned Data'!I$2:I$71)</f>
        <v>7478.34</v>
      </c>
    </row>
    <row r="20" customFormat="false" ht="15" hidden="false" customHeight="false" outlineLevel="0" collapsed="false">
      <c r="A20" s="6" t="s">
        <v>268</v>
      </c>
      <c r="B20" s="6"/>
    </row>
    <row r="21" customFormat="false" ht="15" hidden="false" customHeight="false" outlineLevel="0" collapsed="false">
      <c r="A21" s="7" t="s">
        <v>13</v>
      </c>
      <c r="B21" s="9" t="n">
        <f aca="false">SUMIF('Cleaned Data'!E$2:E$71,"Electronics",'Cleaned Data'!I$2:I$71)</f>
        <v>11348.42</v>
      </c>
    </row>
    <row r="22" customFormat="false" ht="15" hidden="false" customHeight="false" outlineLevel="0" collapsed="false">
      <c r="A22" s="7" t="s">
        <v>24</v>
      </c>
      <c r="B22" s="9" t="n">
        <f aca="false">SUMIF('Cleaned Data'!E$2:E$71,"Clothing",'Cleaned Data'!I$2:I$71)</f>
        <v>9248.45</v>
      </c>
    </row>
    <row r="23" customFormat="false" ht="15" hidden="false" customHeight="false" outlineLevel="0" collapsed="false">
      <c r="A23" s="7" t="s">
        <v>37</v>
      </c>
      <c r="B23" s="9" t="n">
        <f aca="false">SUMIF('Cleaned Data'!E$2:E$71,"Home &amp; Garden",'Cleaned Data'!I$2:I$71)</f>
        <v>6328.29</v>
      </c>
    </row>
    <row r="24" customFormat="false" ht="15" hidden="false" customHeight="false" outlineLevel="0" collapsed="false">
      <c r="A24" s="7" t="s">
        <v>19</v>
      </c>
      <c r="B24" s="9" t="n">
        <f aca="false">SUMIF('Cleaned Data'!E$2:E$71,"Sports",'Cleaned Data'!I$2:I$71)</f>
        <v>7477.61</v>
      </c>
    </row>
    <row r="26" customFormat="false" ht="15" hidden="false" customHeight="false" outlineLevel="0" collapsed="false">
      <c r="A26" s="6" t="s">
        <v>269</v>
      </c>
      <c r="B26" s="6"/>
    </row>
    <row r="27" customFormat="false" ht="15" hidden="false" customHeight="false" outlineLevel="0" collapsed="false">
      <c r="A27" s="7" t="s">
        <v>18</v>
      </c>
      <c r="B27" s="8" t="n">
        <f aca="false">COUNTIF('Cleaned Data'!D$2:D$71,"North")</f>
        <v>19</v>
      </c>
    </row>
    <row r="28" customFormat="false" ht="15" hidden="false" customHeight="false" outlineLevel="0" collapsed="false">
      <c r="A28" s="7" t="s">
        <v>12</v>
      </c>
      <c r="B28" s="8" t="n">
        <f aca="false">COUNTIF('Cleaned Data'!D$2:D$71,"South")</f>
        <v>17</v>
      </c>
    </row>
    <row r="29" customFormat="false" ht="15" hidden="false" customHeight="false" outlineLevel="0" collapsed="false">
      <c r="A29" s="7" t="s">
        <v>29</v>
      </c>
      <c r="B29" s="8" t="n">
        <f aca="false">COUNTIF('Cleaned Data'!D$2:D$71,"East")</f>
        <v>19</v>
      </c>
    </row>
    <row r="30" customFormat="false" ht="15" hidden="false" customHeight="false" outlineLevel="0" collapsed="false">
      <c r="A30" s="7" t="s">
        <v>42</v>
      </c>
      <c r="B30" s="8" t="n">
        <f aca="false">COUNTIF('Cleaned Data'!D$2:D$71,"West")</f>
        <v>15</v>
      </c>
    </row>
  </sheetData>
  <mergeCells count="6">
    <mergeCell ref="A1:B1"/>
    <mergeCell ref="A3:B3"/>
    <mergeCell ref="A9:B9"/>
    <mergeCell ref="A14:B14"/>
    <mergeCell ref="A20:B20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2026-04-11T00:30:38Z</dcterms:created>
  <dc:creator>openpyxl</dc:creator>
  <dc:description/>
  <dc:language>en-US</dc:language>
  <cp:lastModifiedBy/>
  <dcterms:modified xsi:type="dcterms:W3CDTF">2026-04-11T00:30:38Z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